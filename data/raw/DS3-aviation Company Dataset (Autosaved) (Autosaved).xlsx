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firstSheet="6" activeTab="8"/>
  </bookViews>
  <sheets>
    <sheet name="DS3-aviation Company Dataset" sheetId="1" r:id="rId1"/>
    <sheet name="Sheet1" sheetId="2" r:id="rId2"/>
    <sheet name="Chart1" sheetId="3" r:id="rId3"/>
    <sheet name="Chart2" sheetId="5" r:id="rId4"/>
    <sheet name="Chart3" sheetId="7" r:id="rId5"/>
    <sheet name="Chart4" sheetId="9" r:id="rId6"/>
    <sheet name="Chart5" sheetId="11" r:id="rId7"/>
    <sheet name="Dashboard" sheetId="8" r:id="rId8"/>
    <sheet name="Dashboard2" sheetId="12" r:id="rId9"/>
  </sheets>
  <definedNames>
    <definedName name="Slicer_Fitness_Status">#N/A</definedName>
    <definedName name="Slicer_Job_Role">#N/A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3" l="1"/>
  <c r="J3" i="11"/>
</calcChain>
</file>

<file path=xl/sharedStrings.xml><?xml version="1.0" encoding="utf-8"?>
<sst xmlns="http://schemas.openxmlformats.org/spreadsheetml/2006/main" count="3451" uniqueCount="34">
  <si>
    <t>Gender</t>
  </si>
  <si>
    <t>Blood_Type</t>
  </si>
  <si>
    <t>Fitness_Status</t>
  </si>
  <si>
    <t>Job_Role</t>
  </si>
  <si>
    <t>Age</t>
  </si>
  <si>
    <t>Height_cm</t>
  </si>
  <si>
    <t>Weight_kg</t>
  </si>
  <si>
    <t>BMI</t>
  </si>
  <si>
    <t>Blood_Pressure_Systolic</t>
  </si>
  <si>
    <t>Blood_Pressure_Diastolic</t>
  </si>
  <si>
    <t>Heart_Rate</t>
  </si>
  <si>
    <t>Vision_Score</t>
  </si>
  <si>
    <t>Male</t>
  </si>
  <si>
    <t>A-</t>
  </si>
  <si>
    <t>Fit</t>
  </si>
  <si>
    <t>Engineer</t>
  </si>
  <si>
    <t>Female</t>
  </si>
  <si>
    <t>O+</t>
  </si>
  <si>
    <t>Pilot</t>
  </si>
  <si>
    <t>Unfit</t>
  </si>
  <si>
    <t>Ground_Staff</t>
  </si>
  <si>
    <t>B+</t>
  </si>
  <si>
    <t>AB+</t>
  </si>
  <si>
    <t>Temporarily_Unfit</t>
  </si>
  <si>
    <t>A+</t>
  </si>
  <si>
    <t>B-</t>
  </si>
  <si>
    <t>Cabin_Crew</t>
  </si>
  <si>
    <t>Row Labels</t>
  </si>
  <si>
    <t>Grand Total</t>
  </si>
  <si>
    <t>Average of Heart_Rate</t>
  </si>
  <si>
    <t>Count of Gender</t>
  </si>
  <si>
    <t>Column Labels</t>
  </si>
  <si>
    <t>Average of Age</t>
  </si>
  <si>
    <t>Count of Fitness_Status</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</si>
</sst>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lgerian"/>
      <family val="5"/>
    </font>
    <font>
      <b/>
      <sz val="22"/>
      <color theme="1"/>
      <name val="Comic Sans MS"/>
      <family val="4"/>
    </font>
    <font>
      <sz val="16"/>
      <color theme="1"/>
      <name val="Comic Sans MS"/>
      <family val="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Fill="1"/>
    <xf numFmtId="0" fontId="19" fillId="0" borderId="0" xfId="0" applyFont="1" applyFill="1"/>
    <xf numFmtId="0" fontId="20"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strike val="0"/>
        <outline val="0"/>
        <shadow val="0"/>
        <u val="none"/>
        <vertAlign val="baseline"/>
        <sz val="12"/>
        <color theme="1"/>
        <name val="Algerian"/>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(Autosaved).xlsx]Chart1!PivotTable6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Heart Rate By Job Role.</a:t>
            </a:r>
          </a:p>
        </c:rich>
      </c:tx>
      <c:layout>
        <c:manualLayout>
          <c:xMode val="edge"/>
          <c:yMode val="edge"/>
          <c:x val="0.15276928775405352"/>
          <c:y val="3.43137254901960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Chart1!$B$1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Chart1!$A$2:$A$6</c:f>
              <c:strCache>
                <c:ptCount val="4"/>
                <c:pt idx="0">
                  <c:v>Pilot</c:v>
                </c:pt>
                <c:pt idx="1">
                  <c:v>Engineer</c:v>
                </c:pt>
                <c:pt idx="2">
                  <c:v>Cabin_Crew</c:v>
                </c:pt>
                <c:pt idx="3">
                  <c:v>Ground_Staff</c:v>
                </c:pt>
              </c:strCache>
            </c:strRef>
          </c:cat>
          <c:val>
            <c:numRef>
              <c:f>Chart1!$B$2:$B$6</c:f>
              <c:numCache>
                <c:formatCode>General</c:formatCode>
                <c:ptCount val="4"/>
                <c:pt idx="0">
                  <c:v>76.103448275862064</c:v>
                </c:pt>
                <c:pt idx="1">
                  <c:v>75.5</c:v>
                </c:pt>
                <c:pt idx="2">
                  <c:v>74.292035398230084</c:v>
                </c:pt>
                <c:pt idx="3">
                  <c:v>73.535714285714292</c:v>
                </c:pt>
              </c:numCache>
            </c:numRef>
          </c:val>
        </c:ser>
        <c:dLbls>
          <c:showLegendKey val="0"/>
          <c:showVal val="0"/>
          <c:showCatName val="0"/>
          <c:showSerName val="0"/>
          <c:showPercent val="0"/>
          <c:showBubbleSize val="0"/>
        </c:dLbls>
        <c:gapWidth val="100"/>
        <c:overlap val="-24"/>
        <c:axId val="130662832"/>
        <c:axId val="284038600"/>
      </c:barChart>
      <c:catAx>
        <c:axId val="1306628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38600"/>
        <c:crosses val="autoZero"/>
        <c:auto val="1"/>
        <c:lblAlgn val="ctr"/>
        <c:lblOffset val="100"/>
        <c:noMultiLvlLbl val="0"/>
      </c:catAx>
      <c:valAx>
        <c:axId val="2840386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Avg Heart Rate</a:t>
                </a:r>
              </a:p>
            </c:rich>
          </c:tx>
          <c:layout>
            <c:manualLayout>
              <c:xMode val="edge"/>
              <c:yMode val="edge"/>
              <c:x val="2.7777777777777776E-2"/>
              <c:y val="0.34739975211431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6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(Autosaved).xlsx]Chart2!PivotTable6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Job Role, Fitness Status, Gender By Count Of Gender.</a:t>
            </a:r>
          </a:p>
        </c:rich>
      </c:tx>
      <c:layout>
        <c:manualLayout>
          <c:xMode val="edge"/>
          <c:yMode val="edge"/>
          <c:x val="0.14063014431977872"/>
          <c:y val="2.97766749379652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Chart2!$B$1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Chart2!$A$2:$A$41</c:f>
              <c:multiLvlStrCache>
                <c:ptCount val="23"/>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Female</c:v>
                  </c:pt>
                  <c:pt idx="18">
                    <c:v>Male</c:v>
                  </c:pt>
                  <c:pt idx="19">
                    <c:v>Female</c:v>
                  </c:pt>
                  <c:pt idx="20">
                    <c:v>Male</c:v>
                  </c:pt>
                  <c:pt idx="21">
                    <c:v>Female</c:v>
                  </c:pt>
                  <c:pt idx="22">
                    <c:v>Male</c:v>
                  </c:pt>
                </c:lvl>
                <c:lvl>
                  <c:pt idx="0">
                    <c:v>Fit</c:v>
                  </c:pt>
                  <c:pt idx="2">
                    <c:v>Temporarily_Unfit</c:v>
                  </c:pt>
                  <c:pt idx="4">
                    <c:v>Unfit</c:v>
                  </c:pt>
                  <c:pt idx="6">
                    <c:v>Fit</c:v>
                  </c:pt>
                  <c:pt idx="8">
                    <c:v>Temporarily_Unfit</c:v>
                  </c:pt>
                  <c:pt idx="10">
                    <c:v>Unfit</c:v>
                  </c:pt>
                  <c:pt idx="12">
                    <c:v>Fit</c:v>
                  </c:pt>
                  <c:pt idx="14">
                    <c:v>Temporarily_Unfit</c:v>
                  </c:pt>
                  <c:pt idx="16">
                    <c:v>Unfit</c:v>
                  </c:pt>
                  <c:pt idx="17">
                    <c:v>Fit</c:v>
                  </c:pt>
                  <c:pt idx="19">
                    <c:v>Temporarily_Unfit</c:v>
                  </c:pt>
                  <c:pt idx="21">
                    <c:v>Unfit</c:v>
                  </c:pt>
                </c:lvl>
                <c:lvl>
                  <c:pt idx="0">
                    <c:v>Cabin_Crew</c:v>
                  </c:pt>
                  <c:pt idx="6">
                    <c:v>Engineer</c:v>
                  </c:pt>
                  <c:pt idx="12">
                    <c:v>Ground_Staff</c:v>
                  </c:pt>
                  <c:pt idx="17">
                    <c:v>Pilot</c:v>
                  </c:pt>
                </c:lvl>
              </c:multiLvlStrCache>
            </c:multiLvlStrRef>
          </c:cat>
          <c:val>
            <c:numRef>
              <c:f>Chart2!$B$2:$B$41</c:f>
              <c:numCache>
                <c:formatCode>General</c:formatCode>
                <c:ptCount val="23"/>
                <c:pt idx="0">
                  <c:v>47</c:v>
                </c:pt>
                <c:pt idx="1">
                  <c:v>35</c:v>
                </c:pt>
                <c:pt idx="2">
                  <c:v>12</c:v>
                </c:pt>
                <c:pt idx="3">
                  <c:v>9</c:v>
                </c:pt>
                <c:pt idx="4">
                  <c:v>4</c:v>
                </c:pt>
                <c:pt idx="5">
                  <c:v>6</c:v>
                </c:pt>
                <c:pt idx="6">
                  <c:v>34</c:v>
                </c:pt>
                <c:pt idx="7">
                  <c:v>45</c:v>
                </c:pt>
                <c:pt idx="8">
                  <c:v>9</c:v>
                </c:pt>
                <c:pt idx="9">
                  <c:v>7</c:v>
                </c:pt>
                <c:pt idx="10">
                  <c:v>4</c:v>
                </c:pt>
                <c:pt idx="11">
                  <c:v>5</c:v>
                </c:pt>
                <c:pt idx="12">
                  <c:v>28</c:v>
                </c:pt>
                <c:pt idx="13">
                  <c:v>32</c:v>
                </c:pt>
                <c:pt idx="14">
                  <c:v>7</c:v>
                </c:pt>
                <c:pt idx="15">
                  <c:v>13</c:v>
                </c:pt>
                <c:pt idx="16">
                  <c:v>4</c:v>
                </c:pt>
                <c:pt idx="17">
                  <c:v>37</c:v>
                </c:pt>
                <c:pt idx="18">
                  <c:v>44</c:v>
                </c:pt>
                <c:pt idx="19">
                  <c:v>15</c:v>
                </c:pt>
                <c:pt idx="20">
                  <c:v>2</c:v>
                </c:pt>
                <c:pt idx="21">
                  <c:v>10</c:v>
                </c:pt>
                <c:pt idx="22">
                  <c:v>8</c:v>
                </c:pt>
              </c:numCache>
            </c:numRef>
          </c:val>
        </c:ser>
        <c:dLbls>
          <c:showLegendKey val="0"/>
          <c:showVal val="0"/>
          <c:showCatName val="0"/>
          <c:showSerName val="0"/>
          <c:showPercent val="0"/>
          <c:showBubbleSize val="0"/>
        </c:dLbls>
        <c:gapWidth val="100"/>
        <c:overlap val="-24"/>
        <c:axId val="284010816"/>
        <c:axId val="284004920"/>
      </c:barChart>
      <c:catAx>
        <c:axId val="284010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04920"/>
        <c:crosses val="autoZero"/>
        <c:auto val="1"/>
        <c:lblAlgn val="ctr"/>
        <c:lblOffset val="100"/>
        <c:noMultiLvlLbl val="0"/>
      </c:catAx>
      <c:valAx>
        <c:axId val="284004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10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(Autosaved).xlsx]Chart3!PivotTable6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Blood Type, Gender By Count Of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Chart3!$B$1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Chart3!$A$2:$A$20</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A-</c:v>
                  </c:pt>
                  <c:pt idx="2">
                    <c:v>A+</c:v>
                  </c:pt>
                  <c:pt idx="4">
                    <c:v>AB+</c:v>
                  </c:pt>
                  <c:pt idx="6">
                    <c:v>B-</c:v>
                  </c:pt>
                  <c:pt idx="8">
                    <c:v>B+</c:v>
                  </c:pt>
                  <c:pt idx="10">
                    <c:v>O+</c:v>
                  </c:pt>
                </c:lvl>
              </c:multiLvlStrCache>
            </c:multiLvlStrRef>
          </c:cat>
          <c:val>
            <c:numRef>
              <c:f>Chart3!$B$2:$B$20</c:f>
              <c:numCache>
                <c:formatCode>General</c:formatCode>
                <c:ptCount val="12"/>
                <c:pt idx="0">
                  <c:v>38</c:v>
                </c:pt>
                <c:pt idx="1">
                  <c:v>32</c:v>
                </c:pt>
                <c:pt idx="2">
                  <c:v>34</c:v>
                </c:pt>
                <c:pt idx="3">
                  <c:v>38</c:v>
                </c:pt>
                <c:pt idx="4">
                  <c:v>39</c:v>
                </c:pt>
                <c:pt idx="5">
                  <c:v>43</c:v>
                </c:pt>
                <c:pt idx="6">
                  <c:v>32</c:v>
                </c:pt>
                <c:pt idx="7">
                  <c:v>41</c:v>
                </c:pt>
                <c:pt idx="8">
                  <c:v>32</c:v>
                </c:pt>
                <c:pt idx="9">
                  <c:v>25</c:v>
                </c:pt>
                <c:pt idx="10">
                  <c:v>36</c:v>
                </c:pt>
                <c:pt idx="11">
                  <c:v>27</c:v>
                </c:pt>
              </c:numCache>
            </c:numRef>
          </c:val>
        </c:ser>
        <c:dLbls>
          <c:showLegendKey val="0"/>
          <c:showVal val="0"/>
          <c:showCatName val="0"/>
          <c:showSerName val="0"/>
          <c:showPercent val="0"/>
          <c:showBubbleSize val="0"/>
        </c:dLbls>
        <c:gapWidth val="100"/>
        <c:axId val="285040760"/>
        <c:axId val="285038016"/>
      </c:barChart>
      <c:valAx>
        <c:axId val="2850380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040760"/>
        <c:crosses val="autoZero"/>
        <c:crossBetween val="between"/>
      </c:valAx>
      <c:catAx>
        <c:axId val="2850407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03801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(Autosaved).xlsx]Chart4!PivotTable6</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Fitness Status By Gender And Fitness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Chart4!$B$1:$B$2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Fit</c:v>
                </c:pt>
                <c:pt idx="1">
                  <c:v>Temporarily_Unfit</c:v>
                </c:pt>
                <c:pt idx="2">
                  <c:v>Unfit</c:v>
                </c:pt>
              </c:strCache>
            </c:strRef>
          </c:cat>
          <c:val>
            <c:numRef>
              <c:f>Chart4!$B$3:$B$6</c:f>
              <c:numCache>
                <c:formatCode>General</c:formatCode>
                <c:ptCount val="3"/>
                <c:pt idx="0">
                  <c:v>146</c:v>
                </c:pt>
                <c:pt idx="1">
                  <c:v>43</c:v>
                </c:pt>
                <c:pt idx="2">
                  <c:v>22</c:v>
                </c:pt>
              </c:numCache>
            </c:numRef>
          </c:val>
        </c:ser>
        <c:ser>
          <c:idx val="1"/>
          <c:order val="1"/>
          <c:tx>
            <c:strRef>
              <c:f>Chart4!$C$1:$C$2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Fit</c:v>
                </c:pt>
                <c:pt idx="1">
                  <c:v>Temporarily_Unfit</c:v>
                </c:pt>
                <c:pt idx="2">
                  <c:v>Unfit</c:v>
                </c:pt>
              </c:strCache>
            </c:strRef>
          </c:cat>
          <c:val>
            <c:numRef>
              <c:f>Chart4!$C$3:$C$6</c:f>
              <c:numCache>
                <c:formatCode>General</c:formatCode>
                <c:ptCount val="3"/>
                <c:pt idx="0">
                  <c:v>156</c:v>
                </c:pt>
                <c:pt idx="1">
                  <c:v>31</c:v>
                </c:pt>
                <c:pt idx="2">
                  <c:v>19</c:v>
                </c:pt>
              </c:numCache>
            </c:numRef>
          </c:val>
        </c:ser>
        <c:dLbls>
          <c:showLegendKey val="0"/>
          <c:showVal val="1"/>
          <c:showCatName val="0"/>
          <c:showSerName val="0"/>
          <c:showPercent val="0"/>
          <c:showBubbleSize val="0"/>
        </c:dLbls>
        <c:gapWidth val="150"/>
        <c:shape val="box"/>
        <c:axId val="285041152"/>
        <c:axId val="285038408"/>
        <c:axId val="0"/>
      </c:bar3DChart>
      <c:catAx>
        <c:axId val="28504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38408"/>
        <c:crosses val="autoZero"/>
        <c:auto val="1"/>
        <c:lblAlgn val="ctr"/>
        <c:lblOffset val="100"/>
        <c:noMultiLvlLbl val="0"/>
      </c:catAx>
      <c:valAx>
        <c:axId val="285038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(Autosaved).xlsx]Chart5!PivotTable6</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Role By Avg Of Age And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8.4803149606299214E-2"/>
          <c:y val="0.14249781277340332"/>
          <c:w val="0.75117847769028867"/>
          <c:h val="0.65853091280256637"/>
        </c:manualLayout>
      </c:layout>
      <c:barChart>
        <c:barDir val="bar"/>
        <c:grouping val="clustered"/>
        <c:varyColors val="0"/>
        <c:ser>
          <c:idx val="0"/>
          <c:order val="0"/>
          <c:tx>
            <c:strRef>
              <c:f>Chart5!$B$1:$B$2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elete val="1"/>
          </c:dLbls>
          <c:cat>
            <c:strRef>
              <c:f>Chart5!$A$3:$A$7</c:f>
              <c:strCache>
                <c:ptCount val="4"/>
                <c:pt idx="0">
                  <c:v>Cabin_Crew</c:v>
                </c:pt>
                <c:pt idx="1">
                  <c:v>Engineer</c:v>
                </c:pt>
                <c:pt idx="2">
                  <c:v>Ground_Staff</c:v>
                </c:pt>
                <c:pt idx="3">
                  <c:v>Pilot</c:v>
                </c:pt>
              </c:strCache>
            </c:strRef>
          </c:cat>
          <c:val>
            <c:numRef>
              <c:f>Chart5!$B$3:$B$7</c:f>
              <c:numCache>
                <c:formatCode>General</c:formatCode>
                <c:ptCount val="4"/>
                <c:pt idx="0">
                  <c:v>41.603174603174601</c:v>
                </c:pt>
                <c:pt idx="1">
                  <c:v>39.787234042553195</c:v>
                </c:pt>
                <c:pt idx="2">
                  <c:v>42.53846153846154</c:v>
                </c:pt>
                <c:pt idx="3">
                  <c:v>40.612903225806448</c:v>
                </c:pt>
              </c:numCache>
            </c:numRef>
          </c:val>
        </c:ser>
        <c:ser>
          <c:idx val="1"/>
          <c:order val="1"/>
          <c:tx>
            <c:strRef>
              <c:f>Chart5!$C$1:$C$2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Chart5!$A$3:$A$7</c:f>
              <c:strCache>
                <c:ptCount val="4"/>
                <c:pt idx="0">
                  <c:v>Cabin_Crew</c:v>
                </c:pt>
                <c:pt idx="1">
                  <c:v>Engineer</c:v>
                </c:pt>
                <c:pt idx="2">
                  <c:v>Ground_Staff</c:v>
                </c:pt>
                <c:pt idx="3">
                  <c:v>Pilot</c:v>
                </c:pt>
              </c:strCache>
            </c:strRef>
          </c:cat>
          <c:val>
            <c:numRef>
              <c:f>Chart5!$C$3:$C$7</c:f>
              <c:numCache>
                <c:formatCode>General</c:formatCode>
                <c:ptCount val="4"/>
                <c:pt idx="0">
                  <c:v>40.56</c:v>
                </c:pt>
                <c:pt idx="1">
                  <c:v>40.192982456140349</c:v>
                </c:pt>
                <c:pt idx="2">
                  <c:v>42.244444444444447</c:v>
                </c:pt>
                <c:pt idx="3">
                  <c:v>40.5</c:v>
                </c:pt>
              </c:numCache>
            </c:numRef>
          </c:val>
        </c:ser>
        <c:dLbls>
          <c:showLegendKey val="0"/>
          <c:showVal val="1"/>
          <c:showCatName val="0"/>
          <c:showSerName val="0"/>
          <c:showPercent val="0"/>
          <c:showBubbleSize val="0"/>
        </c:dLbls>
        <c:gapWidth val="100"/>
        <c:axId val="285043896"/>
        <c:axId val="285039584"/>
      </c:barChart>
      <c:catAx>
        <c:axId val="2850438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 Role</a:t>
                </a:r>
              </a:p>
            </c:rich>
          </c:tx>
          <c:layout>
            <c:manualLayout>
              <c:xMode val="edge"/>
              <c:yMode val="edge"/>
              <c:x val="1.3046314416177429E-3"/>
              <c:y val="0.4709316110767052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039584"/>
        <c:crosses val="autoZero"/>
        <c:auto val="1"/>
        <c:lblAlgn val="ctr"/>
        <c:lblOffset val="100"/>
        <c:noMultiLvlLbl val="0"/>
      </c:catAx>
      <c:valAx>
        <c:axId val="2850395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Avg Of Age By 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043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(Autosaved).xlsx]Chart1!PivotTable6</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Heart Rate By Job Role.</a:t>
            </a:r>
          </a:p>
        </c:rich>
      </c:tx>
      <c:layout>
        <c:manualLayout>
          <c:xMode val="edge"/>
          <c:yMode val="edge"/>
          <c:x val="0.15276928775405352"/>
          <c:y val="3.43137254901960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Chart1!$A$2:$A$6</c:f>
              <c:strCache>
                <c:ptCount val="4"/>
                <c:pt idx="0">
                  <c:v>Pilot</c:v>
                </c:pt>
                <c:pt idx="1">
                  <c:v>Engineer</c:v>
                </c:pt>
                <c:pt idx="2">
                  <c:v>Cabin_Crew</c:v>
                </c:pt>
                <c:pt idx="3">
                  <c:v>Ground_Staff</c:v>
                </c:pt>
              </c:strCache>
            </c:strRef>
          </c:cat>
          <c:val>
            <c:numRef>
              <c:f>Chart1!$B$2:$B$6</c:f>
              <c:numCache>
                <c:formatCode>General</c:formatCode>
                <c:ptCount val="4"/>
                <c:pt idx="0">
                  <c:v>76.103448275862064</c:v>
                </c:pt>
                <c:pt idx="1">
                  <c:v>75.5</c:v>
                </c:pt>
                <c:pt idx="2">
                  <c:v>74.292035398230084</c:v>
                </c:pt>
                <c:pt idx="3">
                  <c:v>73.535714285714292</c:v>
                </c:pt>
              </c:numCache>
            </c:numRef>
          </c:val>
        </c:ser>
        <c:dLbls>
          <c:dLblPos val="outEnd"/>
          <c:showLegendKey val="0"/>
          <c:showVal val="1"/>
          <c:showCatName val="0"/>
          <c:showSerName val="0"/>
          <c:showPercent val="0"/>
          <c:showBubbleSize val="0"/>
        </c:dLbls>
        <c:gapWidth val="100"/>
        <c:overlap val="-24"/>
        <c:axId val="285045072"/>
        <c:axId val="285043112"/>
      </c:barChart>
      <c:catAx>
        <c:axId val="2850450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3112"/>
        <c:crosses val="autoZero"/>
        <c:auto val="1"/>
        <c:lblAlgn val="ctr"/>
        <c:lblOffset val="100"/>
        <c:noMultiLvlLbl val="0"/>
      </c:catAx>
      <c:valAx>
        <c:axId val="285043112"/>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Avg Heart Rate</a:t>
                </a:r>
              </a:p>
            </c:rich>
          </c:tx>
          <c:layout>
            <c:manualLayout>
              <c:xMode val="edge"/>
              <c:yMode val="edge"/>
              <c:x val="2.7777777777777776E-2"/>
              <c:y val="0.34739975211431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85045072"/>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(Autosaved).xlsx]Chart5!PivotTable6</c:name>
    <c:fmtId val="5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Role By Avg Of Age And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75117847769028867"/>
          <c:h val="0.65853091280256637"/>
        </c:manualLayout>
      </c:layout>
      <c:barChart>
        <c:barDir val="bar"/>
        <c:grouping val="clustered"/>
        <c:varyColors val="0"/>
        <c:ser>
          <c:idx val="0"/>
          <c:order val="0"/>
          <c:tx>
            <c:strRef>
              <c:f>Chart5!$B$1:$B$2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elete val="1"/>
          </c:dLbls>
          <c:cat>
            <c:strRef>
              <c:f>Chart5!$A$3:$A$7</c:f>
              <c:strCache>
                <c:ptCount val="4"/>
                <c:pt idx="0">
                  <c:v>Cabin_Crew</c:v>
                </c:pt>
                <c:pt idx="1">
                  <c:v>Engineer</c:v>
                </c:pt>
                <c:pt idx="2">
                  <c:v>Ground_Staff</c:v>
                </c:pt>
                <c:pt idx="3">
                  <c:v>Pilot</c:v>
                </c:pt>
              </c:strCache>
            </c:strRef>
          </c:cat>
          <c:val>
            <c:numRef>
              <c:f>Chart5!$B$3:$B$7</c:f>
              <c:numCache>
                <c:formatCode>General</c:formatCode>
                <c:ptCount val="4"/>
                <c:pt idx="0">
                  <c:v>41.603174603174601</c:v>
                </c:pt>
                <c:pt idx="1">
                  <c:v>39.787234042553195</c:v>
                </c:pt>
                <c:pt idx="2">
                  <c:v>42.53846153846154</c:v>
                </c:pt>
                <c:pt idx="3">
                  <c:v>40.612903225806448</c:v>
                </c:pt>
              </c:numCache>
            </c:numRef>
          </c:val>
        </c:ser>
        <c:ser>
          <c:idx val="1"/>
          <c:order val="1"/>
          <c:tx>
            <c:strRef>
              <c:f>Chart5!$C$1:$C$2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Chart5!$A$3:$A$7</c:f>
              <c:strCache>
                <c:ptCount val="4"/>
                <c:pt idx="0">
                  <c:v>Cabin_Crew</c:v>
                </c:pt>
                <c:pt idx="1">
                  <c:v>Engineer</c:v>
                </c:pt>
                <c:pt idx="2">
                  <c:v>Ground_Staff</c:v>
                </c:pt>
                <c:pt idx="3">
                  <c:v>Pilot</c:v>
                </c:pt>
              </c:strCache>
            </c:strRef>
          </c:cat>
          <c:val>
            <c:numRef>
              <c:f>Chart5!$C$3:$C$7</c:f>
              <c:numCache>
                <c:formatCode>General</c:formatCode>
                <c:ptCount val="4"/>
                <c:pt idx="0">
                  <c:v>40.56</c:v>
                </c:pt>
                <c:pt idx="1">
                  <c:v>40.192982456140349</c:v>
                </c:pt>
                <c:pt idx="2">
                  <c:v>42.244444444444447</c:v>
                </c:pt>
                <c:pt idx="3">
                  <c:v>40.5</c:v>
                </c:pt>
              </c:numCache>
            </c:numRef>
          </c:val>
        </c:ser>
        <c:dLbls>
          <c:showLegendKey val="0"/>
          <c:showVal val="1"/>
          <c:showCatName val="0"/>
          <c:showSerName val="0"/>
          <c:showPercent val="0"/>
          <c:showBubbleSize val="0"/>
        </c:dLbls>
        <c:gapWidth val="100"/>
        <c:axId val="285037624"/>
        <c:axId val="285039976"/>
      </c:barChart>
      <c:catAx>
        <c:axId val="2850376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 Role</a:t>
                </a:r>
              </a:p>
            </c:rich>
          </c:tx>
          <c:layout>
            <c:manualLayout>
              <c:xMode val="edge"/>
              <c:yMode val="edge"/>
              <c:x val="1.3046314416177429E-3"/>
              <c:y val="0.4709316110767052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5039976"/>
        <c:crosses val="autoZero"/>
        <c:auto val="1"/>
        <c:lblAlgn val="ctr"/>
        <c:lblOffset val="100"/>
        <c:noMultiLvlLbl val="0"/>
      </c:catAx>
      <c:valAx>
        <c:axId val="285039976"/>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Avg Of Age By 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crossAx val="285037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(Autosaved).xlsx]Chart2!PivotTable6</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Job Role, Fitness Status, Gender By Count Of Gender.</a:t>
            </a:r>
          </a:p>
        </c:rich>
      </c:tx>
      <c:layout>
        <c:manualLayout>
          <c:xMode val="edge"/>
          <c:yMode val="edge"/>
          <c:x val="0.14063014431977872"/>
          <c:y val="2.97766749379652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Chart2!$A$2:$A$41</c:f>
              <c:multiLvlStrCache>
                <c:ptCount val="23"/>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Female</c:v>
                  </c:pt>
                  <c:pt idx="18">
                    <c:v>Male</c:v>
                  </c:pt>
                  <c:pt idx="19">
                    <c:v>Female</c:v>
                  </c:pt>
                  <c:pt idx="20">
                    <c:v>Male</c:v>
                  </c:pt>
                  <c:pt idx="21">
                    <c:v>Female</c:v>
                  </c:pt>
                  <c:pt idx="22">
                    <c:v>Male</c:v>
                  </c:pt>
                </c:lvl>
                <c:lvl>
                  <c:pt idx="0">
                    <c:v>Fit</c:v>
                  </c:pt>
                  <c:pt idx="2">
                    <c:v>Temporarily_Unfit</c:v>
                  </c:pt>
                  <c:pt idx="4">
                    <c:v>Unfit</c:v>
                  </c:pt>
                  <c:pt idx="6">
                    <c:v>Fit</c:v>
                  </c:pt>
                  <c:pt idx="8">
                    <c:v>Temporarily_Unfit</c:v>
                  </c:pt>
                  <c:pt idx="10">
                    <c:v>Unfit</c:v>
                  </c:pt>
                  <c:pt idx="12">
                    <c:v>Fit</c:v>
                  </c:pt>
                  <c:pt idx="14">
                    <c:v>Temporarily_Unfit</c:v>
                  </c:pt>
                  <c:pt idx="16">
                    <c:v>Unfit</c:v>
                  </c:pt>
                  <c:pt idx="17">
                    <c:v>Fit</c:v>
                  </c:pt>
                  <c:pt idx="19">
                    <c:v>Temporarily_Unfit</c:v>
                  </c:pt>
                  <c:pt idx="21">
                    <c:v>Unfit</c:v>
                  </c:pt>
                </c:lvl>
                <c:lvl>
                  <c:pt idx="0">
                    <c:v>Cabin_Crew</c:v>
                  </c:pt>
                  <c:pt idx="6">
                    <c:v>Engineer</c:v>
                  </c:pt>
                  <c:pt idx="12">
                    <c:v>Ground_Staff</c:v>
                  </c:pt>
                  <c:pt idx="17">
                    <c:v>Pilot</c:v>
                  </c:pt>
                </c:lvl>
              </c:multiLvlStrCache>
            </c:multiLvlStrRef>
          </c:cat>
          <c:val>
            <c:numRef>
              <c:f>Chart2!$B$2:$B$41</c:f>
              <c:numCache>
                <c:formatCode>General</c:formatCode>
                <c:ptCount val="23"/>
                <c:pt idx="0">
                  <c:v>47</c:v>
                </c:pt>
                <c:pt idx="1">
                  <c:v>35</c:v>
                </c:pt>
                <c:pt idx="2">
                  <c:v>12</c:v>
                </c:pt>
                <c:pt idx="3">
                  <c:v>9</c:v>
                </c:pt>
                <c:pt idx="4">
                  <c:v>4</c:v>
                </c:pt>
                <c:pt idx="5">
                  <c:v>6</c:v>
                </c:pt>
                <c:pt idx="6">
                  <c:v>34</c:v>
                </c:pt>
                <c:pt idx="7">
                  <c:v>45</c:v>
                </c:pt>
                <c:pt idx="8">
                  <c:v>9</c:v>
                </c:pt>
                <c:pt idx="9">
                  <c:v>7</c:v>
                </c:pt>
                <c:pt idx="10">
                  <c:v>4</c:v>
                </c:pt>
                <c:pt idx="11">
                  <c:v>5</c:v>
                </c:pt>
                <c:pt idx="12">
                  <c:v>28</c:v>
                </c:pt>
                <c:pt idx="13">
                  <c:v>32</c:v>
                </c:pt>
                <c:pt idx="14">
                  <c:v>7</c:v>
                </c:pt>
                <c:pt idx="15">
                  <c:v>13</c:v>
                </c:pt>
                <c:pt idx="16">
                  <c:v>4</c:v>
                </c:pt>
                <c:pt idx="17">
                  <c:v>37</c:v>
                </c:pt>
                <c:pt idx="18">
                  <c:v>44</c:v>
                </c:pt>
                <c:pt idx="19">
                  <c:v>15</c:v>
                </c:pt>
                <c:pt idx="20">
                  <c:v>2</c:v>
                </c:pt>
                <c:pt idx="21">
                  <c:v>10</c:v>
                </c:pt>
                <c:pt idx="22">
                  <c:v>8</c:v>
                </c:pt>
              </c:numCache>
            </c:numRef>
          </c:val>
        </c:ser>
        <c:dLbls>
          <c:dLblPos val="outEnd"/>
          <c:showLegendKey val="0"/>
          <c:showVal val="1"/>
          <c:showCatName val="0"/>
          <c:showSerName val="0"/>
          <c:showPercent val="0"/>
          <c:showBubbleSize val="0"/>
        </c:dLbls>
        <c:gapWidth val="100"/>
        <c:overlap val="-24"/>
        <c:axId val="285041544"/>
        <c:axId val="285041936"/>
      </c:barChart>
      <c:catAx>
        <c:axId val="285041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1936"/>
        <c:crosses val="autoZero"/>
        <c:auto val="1"/>
        <c:lblAlgn val="ctr"/>
        <c:lblOffset val="100"/>
        <c:noMultiLvlLbl val="0"/>
      </c:catAx>
      <c:valAx>
        <c:axId val="285041936"/>
        <c:scaling>
          <c:orientation val="minMax"/>
        </c:scaling>
        <c:delete val="1"/>
        <c:axPos val="l"/>
        <c:numFmt formatCode="General" sourceLinked="1"/>
        <c:majorTickMark val="none"/>
        <c:minorTickMark val="none"/>
        <c:tickLblPos val="nextTo"/>
        <c:crossAx val="285041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(Autosaved).xlsx]Chart4!PivotTable6</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Fitness Status By Gender And Fitness Status.</a:t>
            </a:r>
          </a:p>
        </c:rich>
      </c:tx>
      <c:layout>
        <c:manualLayout>
          <c:xMode val="edge"/>
          <c:yMode val="edge"/>
          <c:x val="0.1153150638674971"/>
          <c:y val="2.36834989417019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Chart4!$B$1:$B$2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Fit</c:v>
                </c:pt>
                <c:pt idx="1">
                  <c:v>Temporarily_Unfit</c:v>
                </c:pt>
                <c:pt idx="2">
                  <c:v>Unfit</c:v>
                </c:pt>
              </c:strCache>
            </c:strRef>
          </c:cat>
          <c:val>
            <c:numRef>
              <c:f>Chart4!$B$3:$B$6</c:f>
              <c:numCache>
                <c:formatCode>General</c:formatCode>
                <c:ptCount val="3"/>
                <c:pt idx="0">
                  <c:v>146</c:v>
                </c:pt>
                <c:pt idx="1">
                  <c:v>43</c:v>
                </c:pt>
                <c:pt idx="2">
                  <c:v>22</c:v>
                </c:pt>
              </c:numCache>
            </c:numRef>
          </c:val>
        </c:ser>
        <c:ser>
          <c:idx val="1"/>
          <c:order val="1"/>
          <c:tx>
            <c:strRef>
              <c:f>Chart4!$C$1:$C$2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Fit</c:v>
                </c:pt>
                <c:pt idx="1">
                  <c:v>Temporarily_Unfit</c:v>
                </c:pt>
                <c:pt idx="2">
                  <c:v>Unfit</c:v>
                </c:pt>
              </c:strCache>
            </c:strRef>
          </c:cat>
          <c:val>
            <c:numRef>
              <c:f>Chart4!$C$3:$C$6</c:f>
              <c:numCache>
                <c:formatCode>General</c:formatCode>
                <c:ptCount val="3"/>
                <c:pt idx="0">
                  <c:v>156</c:v>
                </c:pt>
                <c:pt idx="1">
                  <c:v>31</c:v>
                </c:pt>
                <c:pt idx="2">
                  <c:v>19</c:v>
                </c:pt>
              </c:numCache>
            </c:numRef>
          </c:val>
        </c:ser>
        <c:dLbls>
          <c:showLegendKey val="0"/>
          <c:showVal val="1"/>
          <c:showCatName val="0"/>
          <c:showSerName val="0"/>
          <c:showPercent val="0"/>
          <c:showBubbleSize val="0"/>
        </c:dLbls>
        <c:gapWidth val="150"/>
        <c:shape val="box"/>
        <c:axId val="285042720"/>
        <c:axId val="285043504"/>
        <c:axId val="0"/>
      </c:bar3DChart>
      <c:catAx>
        <c:axId val="285042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3504"/>
        <c:crosses val="autoZero"/>
        <c:auto val="1"/>
        <c:lblAlgn val="ctr"/>
        <c:lblOffset val="100"/>
        <c:noMultiLvlLbl val="0"/>
      </c:catAx>
      <c:valAx>
        <c:axId val="285043504"/>
        <c:scaling>
          <c:orientation val="minMax"/>
        </c:scaling>
        <c:delete val="1"/>
        <c:axPos val="l"/>
        <c:numFmt formatCode="General" sourceLinked="1"/>
        <c:majorTickMark val="none"/>
        <c:minorTickMark val="none"/>
        <c:tickLblPos val="nextTo"/>
        <c:crossAx val="28504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(Autosaved).xlsx]Chart3!PivotTable6</c:name>
    <c:fmtId val="4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Blood Type, Gender By Count Of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Chart3!$A$2:$A$20</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A-</c:v>
                  </c:pt>
                  <c:pt idx="2">
                    <c:v>A+</c:v>
                  </c:pt>
                  <c:pt idx="4">
                    <c:v>AB+</c:v>
                  </c:pt>
                  <c:pt idx="6">
                    <c:v>B-</c:v>
                  </c:pt>
                  <c:pt idx="8">
                    <c:v>B+</c:v>
                  </c:pt>
                  <c:pt idx="10">
                    <c:v>O+</c:v>
                  </c:pt>
                </c:lvl>
              </c:multiLvlStrCache>
            </c:multiLvlStrRef>
          </c:cat>
          <c:val>
            <c:numRef>
              <c:f>Chart3!$B$2:$B$20</c:f>
              <c:numCache>
                <c:formatCode>General</c:formatCode>
                <c:ptCount val="12"/>
                <c:pt idx="0">
                  <c:v>38</c:v>
                </c:pt>
                <c:pt idx="1">
                  <c:v>32</c:v>
                </c:pt>
                <c:pt idx="2">
                  <c:v>34</c:v>
                </c:pt>
                <c:pt idx="3">
                  <c:v>38</c:v>
                </c:pt>
                <c:pt idx="4">
                  <c:v>39</c:v>
                </c:pt>
                <c:pt idx="5">
                  <c:v>43</c:v>
                </c:pt>
                <c:pt idx="6">
                  <c:v>32</c:v>
                </c:pt>
                <c:pt idx="7">
                  <c:v>41</c:v>
                </c:pt>
                <c:pt idx="8">
                  <c:v>32</c:v>
                </c:pt>
                <c:pt idx="9">
                  <c:v>25</c:v>
                </c:pt>
                <c:pt idx="10">
                  <c:v>36</c:v>
                </c:pt>
                <c:pt idx="11">
                  <c:v>27</c:v>
                </c:pt>
              </c:numCache>
            </c:numRef>
          </c:val>
        </c:ser>
        <c:dLbls>
          <c:dLblPos val="outEnd"/>
          <c:showLegendKey val="0"/>
          <c:showVal val="1"/>
          <c:showCatName val="0"/>
          <c:showSerName val="0"/>
          <c:showPercent val="0"/>
          <c:showBubbleSize val="0"/>
        </c:dLbls>
        <c:gapWidth val="100"/>
        <c:axId val="286473328"/>
        <c:axId val="286470584"/>
      </c:barChart>
      <c:valAx>
        <c:axId val="286470584"/>
        <c:scaling>
          <c:orientation val="minMax"/>
        </c:scaling>
        <c:delete val="1"/>
        <c:axPos val="b"/>
        <c:numFmt formatCode="General" sourceLinked="1"/>
        <c:majorTickMark val="none"/>
        <c:minorTickMark val="none"/>
        <c:tickLblPos val="nextTo"/>
        <c:crossAx val="286473328"/>
        <c:crosses val="autoZero"/>
        <c:crossBetween val="between"/>
      </c:valAx>
      <c:catAx>
        <c:axId val="2864733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47058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(Autosaved).xlsx]Chart1!PivotTable6</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Heart Rate By Job Role.</a:t>
            </a:r>
          </a:p>
        </c:rich>
      </c:tx>
      <c:layout>
        <c:manualLayout>
          <c:xMode val="edge"/>
          <c:yMode val="edge"/>
          <c:x val="0.15276928775405352"/>
          <c:y val="3.43137254901960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Chart1!$A$2:$A$6</c:f>
              <c:strCache>
                <c:ptCount val="4"/>
                <c:pt idx="0">
                  <c:v>Pilot</c:v>
                </c:pt>
                <c:pt idx="1">
                  <c:v>Engineer</c:v>
                </c:pt>
                <c:pt idx="2">
                  <c:v>Cabin_Crew</c:v>
                </c:pt>
                <c:pt idx="3">
                  <c:v>Ground_Staff</c:v>
                </c:pt>
              </c:strCache>
            </c:strRef>
          </c:cat>
          <c:val>
            <c:numRef>
              <c:f>Chart1!$B$2:$B$6</c:f>
              <c:numCache>
                <c:formatCode>General</c:formatCode>
                <c:ptCount val="4"/>
                <c:pt idx="0">
                  <c:v>76.103448275862064</c:v>
                </c:pt>
                <c:pt idx="1">
                  <c:v>75.5</c:v>
                </c:pt>
                <c:pt idx="2">
                  <c:v>74.292035398230084</c:v>
                </c:pt>
                <c:pt idx="3">
                  <c:v>73.535714285714292</c:v>
                </c:pt>
              </c:numCache>
            </c:numRef>
          </c:val>
        </c:ser>
        <c:dLbls>
          <c:dLblPos val="outEnd"/>
          <c:showLegendKey val="0"/>
          <c:showVal val="1"/>
          <c:showCatName val="0"/>
          <c:showSerName val="0"/>
          <c:showPercent val="0"/>
          <c:showBubbleSize val="0"/>
        </c:dLbls>
        <c:gapWidth val="100"/>
        <c:overlap val="-24"/>
        <c:axId val="286475680"/>
        <c:axId val="286476072"/>
      </c:barChart>
      <c:catAx>
        <c:axId val="2864756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Job Role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76072"/>
        <c:crosses val="autoZero"/>
        <c:auto val="1"/>
        <c:lblAlgn val="ctr"/>
        <c:lblOffset val="100"/>
        <c:noMultiLvlLbl val="0"/>
      </c:catAx>
      <c:valAx>
        <c:axId val="286476072"/>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Avg Heart Rate</a:t>
                </a:r>
              </a:p>
            </c:rich>
          </c:tx>
          <c:layout>
            <c:manualLayout>
              <c:xMode val="edge"/>
              <c:yMode val="edge"/>
              <c:x val="2.7777777777777776E-2"/>
              <c:y val="0.34739975211431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86475680"/>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(Autosaved).xlsx]Chart5!PivotTable6</c:name>
    <c:fmtId val="6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Role By Avg Of Age And Gender.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4"/>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4803149606299214E-2"/>
          <c:y val="0.14249781277340332"/>
          <c:w val="0.75117847769028867"/>
          <c:h val="0.65853091280256637"/>
        </c:manualLayout>
      </c:layout>
      <c:barChart>
        <c:barDir val="bar"/>
        <c:grouping val="clustered"/>
        <c:varyColors val="0"/>
        <c:ser>
          <c:idx val="0"/>
          <c:order val="0"/>
          <c:tx>
            <c:strRef>
              <c:f>Chart5!$B$1:$B$2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elete val="1"/>
          </c:dLbls>
          <c:cat>
            <c:strRef>
              <c:f>Chart5!$A$3:$A$7</c:f>
              <c:strCache>
                <c:ptCount val="4"/>
                <c:pt idx="0">
                  <c:v>Cabin_Crew</c:v>
                </c:pt>
                <c:pt idx="1">
                  <c:v>Engineer</c:v>
                </c:pt>
                <c:pt idx="2">
                  <c:v>Ground_Staff</c:v>
                </c:pt>
                <c:pt idx="3">
                  <c:v>Pilot</c:v>
                </c:pt>
              </c:strCache>
            </c:strRef>
          </c:cat>
          <c:val>
            <c:numRef>
              <c:f>Chart5!$B$3:$B$7</c:f>
              <c:numCache>
                <c:formatCode>General</c:formatCode>
                <c:ptCount val="4"/>
                <c:pt idx="0">
                  <c:v>41.603174603174601</c:v>
                </c:pt>
                <c:pt idx="1">
                  <c:v>39.787234042553195</c:v>
                </c:pt>
                <c:pt idx="2">
                  <c:v>42.53846153846154</c:v>
                </c:pt>
                <c:pt idx="3">
                  <c:v>40.612903225806448</c:v>
                </c:pt>
              </c:numCache>
            </c:numRef>
          </c:val>
        </c:ser>
        <c:ser>
          <c:idx val="1"/>
          <c:order val="1"/>
          <c:tx>
            <c:strRef>
              <c:f>Chart5!$C$1:$C$2</c:f>
              <c:strCache>
                <c:ptCount val="1"/>
                <c:pt idx="0">
                  <c:v>Male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Chart5!$A$3:$A$7</c:f>
              <c:strCache>
                <c:ptCount val="4"/>
                <c:pt idx="0">
                  <c:v>Cabin_Crew</c:v>
                </c:pt>
                <c:pt idx="1">
                  <c:v>Engineer</c:v>
                </c:pt>
                <c:pt idx="2">
                  <c:v>Ground_Staff</c:v>
                </c:pt>
                <c:pt idx="3">
                  <c:v>Pilot</c:v>
                </c:pt>
              </c:strCache>
            </c:strRef>
          </c:cat>
          <c:val>
            <c:numRef>
              <c:f>Chart5!$C$3:$C$7</c:f>
              <c:numCache>
                <c:formatCode>General</c:formatCode>
                <c:ptCount val="4"/>
                <c:pt idx="0">
                  <c:v>40.56</c:v>
                </c:pt>
                <c:pt idx="1">
                  <c:v>40.192982456140349</c:v>
                </c:pt>
                <c:pt idx="2">
                  <c:v>42.244444444444447</c:v>
                </c:pt>
                <c:pt idx="3">
                  <c:v>40.5</c:v>
                </c:pt>
              </c:numCache>
            </c:numRef>
          </c:val>
        </c:ser>
        <c:dLbls>
          <c:showLegendKey val="0"/>
          <c:showVal val="1"/>
          <c:showCatName val="0"/>
          <c:showSerName val="0"/>
          <c:showPercent val="0"/>
          <c:showBubbleSize val="0"/>
        </c:dLbls>
        <c:gapWidth val="100"/>
        <c:axId val="286472936"/>
        <c:axId val="286477640"/>
      </c:barChart>
      <c:catAx>
        <c:axId val="2864729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 Role</a:t>
                </a:r>
              </a:p>
            </c:rich>
          </c:tx>
          <c:layout>
            <c:manualLayout>
              <c:xMode val="edge"/>
              <c:yMode val="edge"/>
              <c:x val="1.3046314416177429E-3"/>
              <c:y val="0.4709316110767052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477640"/>
        <c:crosses val="autoZero"/>
        <c:auto val="1"/>
        <c:lblAlgn val="ctr"/>
        <c:lblOffset val="100"/>
        <c:noMultiLvlLbl val="0"/>
      </c:catAx>
      <c:valAx>
        <c:axId val="286477640"/>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Avg Of Age By 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crossAx val="286472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(Autosaved).xlsx]Chart2!PivotTable6</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Job Role, Fitness Status, Gender By Count Of Gender.</a:t>
            </a:r>
          </a:p>
        </c:rich>
      </c:tx>
      <c:layout>
        <c:manualLayout>
          <c:xMode val="edge"/>
          <c:yMode val="edge"/>
          <c:x val="0.14063014431977872"/>
          <c:y val="2.97766749379652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Chart2!$A$2:$A$41</c:f>
              <c:multiLvlStrCache>
                <c:ptCount val="23"/>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Female</c:v>
                  </c:pt>
                  <c:pt idx="18">
                    <c:v>Male</c:v>
                  </c:pt>
                  <c:pt idx="19">
                    <c:v>Female</c:v>
                  </c:pt>
                  <c:pt idx="20">
                    <c:v>Male</c:v>
                  </c:pt>
                  <c:pt idx="21">
                    <c:v>Female</c:v>
                  </c:pt>
                  <c:pt idx="22">
                    <c:v>Male</c:v>
                  </c:pt>
                </c:lvl>
                <c:lvl>
                  <c:pt idx="0">
                    <c:v>Fit</c:v>
                  </c:pt>
                  <c:pt idx="2">
                    <c:v>Temporarily_Unfit</c:v>
                  </c:pt>
                  <c:pt idx="4">
                    <c:v>Unfit</c:v>
                  </c:pt>
                  <c:pt idx="6">
                    <c:v>Fit</c:v>
                  </c:pt>
                  <c:pt idx="8">
                    <c:v>Temporarily_Unfit</c:v>
                  </c:pt>
                  <c:pt idx="10">
                    <c:v>Unfit</c:v>
                  </c:pt>
                  <c:pt idx="12">
                    <c:v>Fit</c:v>
                  </c:pt>
                  <c:pt idx="14">
                    <c:v>Temporarily_Unfit</c:v>
                  </c:pt>
                  <c:pt idx="16">
                    <c:v>Unfit</c:v>
                  </c:pt>
                  <c:pt idx="17">
                    <c:v>Fit</c:v>
                  </c:pt>
                  <c:pt idx="19">
                    <c:v>Temporarily_Unfit</c:v>
                  </c:pt>
                  <c:pt idx="21">
                    <c:v>Unfit</c:v>
                  </c:pt>
                </c:lvl>
                <c:lvl>
                  <c:pt idx="0">
                    <c:v>Cabin_Crew</c:v>
                  </c:pt>
                  <c:pt idx="6">
                    <c:v>Engineer</c:v>
                  </c:pt>
                  <c:pt idx="12">
                    <c:v>Ground_Staff</c:v>
                  </c:pt>
                  <c:pt idx="17">
                    <c:v>Pilot</c:v>
                  </c:pt>
                </c:lvl>
              </c:multiLvlStrCache>
            </c:multiLvlStrRef>
          </c:cat>
          <c:val>
            <c:numRef>
              <c:f>Chart2!$B$2:$B$41</c:f>
              <c:numCache>
                <c:formatCode>General</c:formatCode>
                <c:ptCount val="23"/>
                <c:pt idx="0">
                  <c:v>47</c:v>
                </c:pt>
                <c:pt idx="1">
                  <c:v>35</c:v>
                </c:pt>
                <c:pt idx="2">
                  <c:v>12</c:v>
                </c:pt>
                <c:pt idx="3">
                  <c:v>9</c:v>
                </c:pt>
                <c:pt idx="4">
                  <c:v>4</c:v>
                </c:pt>
                <c:pt idx="5">
                  <c:v>6</c:v>
                </c:pt>
                <c:pt idx="6">
                  <c:v>34</c:v>
                </c:pt>
                <c:pt idx="7">
                  <c:v>45</c:v>
                </c:pt>
                <c:pt idx="8">
                  <c:v>9</c:v>
                </c:pt>
                <c:pt idx="9">
                  <c:v>7</c:v>
                </c:pt>
                <c:pt idx="10">
                  <c:v>4</c:v>
                </c:pt>
                <c:pt idx="11">
                  <c:v>5</c:v>
                </c:pt>
                <c:pt idx="12">
                  <c:v>28</c:v>
                </c:pt>
                <c:pt idx="13">
                  <c:v>32</c:v>
                </c:pt>
                <c:pt idx="14">
                  <c:v>7</c:v>
                </c:pt>
                <c:pt idx="15">
                  <c:v>13</c:v>
                </c:pt>
                <c:pt idx="16">
                  <c:v>4</c:v>
                </c:pt>
                <c:pt idx="17">
                  <c:v>37</c:v>
                </c:pt>
                <c:pt idx="18">
                  <c:v>44</c:v>
                </c:pt>
                <c:pt idx="19">
                  <c:v>15</c:v>
                </c:pt>
                <c:pt idx="20">
                  <c:v>2</c:v>
                </c:pt>
                <c:pt idx="21">
                  <c:v>10</c:v>
                </c:pt>
                <c:pt idx="22">
                  <c:v>8</c:v>
                </c:pt>
              </c:numCache>
            </c:numRef>
          </c:val>
        </c:ser>
        <c:dLbls>
          <c:dLblPos val="outEnd"/>
          <c:showLegendKey val="0"/>
          <c:showVal val="1"/>
          <c:showCatName val="0"/>
          <c:showSerName val="0"/>
          <c:showPercent val="0"/>
          <c:showBubbleSize val="0"/>
        </c:dLbls>
        <c:gapWidth val="100"/>
        <c:overlap val="-24"/>
        <c:axId val="286471368"/>
        <c:axId val="286470192"/>
      </c:barChart>
      <c:catAx>
        <c:axId val="286471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70192"/>
        <c:crosses val="autoZero"/>
        <c:auto val="1"/>
        <c:lblAlgn val="ctr"/>
        <c:lblOffset val="100"/>
        <c:noMultiLvlLbl val="0"/>
      </c:catAx>
      <c:valAx>
        <c:axId val="286470192"/>
        <c:scaling>
          <c:orientation val="minMax"/>
        </c:scaling>
        <c:delete val="1"/>
        <c:axPos val="l"/>
        <c:numFmt formatCode="General" sourceLinked="1"/>
        <c:majorTickMark val="none"/>
        <c:minorTickMark val="none"/>
        <c:tickLblPos val="nextTo"/>
        <c:crossAx val="286471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(Autosaved).xlsx]Chart4!PivotTable6</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Fitness Status By Gender And Fitness Status.</a:t>
            </a:r>
          </a:p>
        </c:rich>
      </c:tx>
      <c:layout>
        <c:manualLayout>
          <c:xMode val="edge"/>
          <c:yMode val="edge"/>
          <c:x val="0.1153150638674971"/>
          <c:y val="2.36834989417019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5">
              <a:lumMod val="50000"/>
            </a:schemeClr>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Chart4!$B$1:$B$2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Fit</c:v>
                </c:pt>
                <c:pt idx="1">
                  <c:v>Temporarily_Unfit</c:v>
                </c:pt>
                <c:pt idx="2">
                  <c:v>Unfit</c:v>
                </c:pt>
              </c:strCache>
            </c:strRef>
          </c:cat>
          <c:val>
            <c:numRef>
              <c:f>Chart4!$B$3:$B$6</c:f>
              <c:numCache>
                <c:formatCode>General</c:formatCode>
                <c:ptCount val="3"/>
                <c:pt idx="0">
                  <c:v>146</c:v>
                </c:pt>
                <c:pt idx="1">
                  <c:v>43</c:v>
                </c:pt>
                <c:pt idx="2">
                  <c:v>22</c:v>
                </c:pt>
              </c:numCache>
            </c:numRef>
          </c:val>
        </c:ser>
        <c:ser>
          <c:idx val="1"/>
          <c:order val="1"/>
          <c:tx>
            <c:strRef>
              <c:f>Chart4!$C$1:$C$2</c:f>
              <c:strCache>
                <c:ptCount val="1"/>
                <c:pt idx="0">
                  <c:v>Male</c:v>
                </c:pt>
              </c:strCache>
            </c:strRef>
          </c:tx>
          <c:spPr>
            <a:solidFill>
              <a:schemeClr val="accent5">
                <a:lumMod val="5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Fit</c:v>
                </c:pt>
                <c:pt idx="1">
                  <c:v>Temporarily_Unfit</c:v>
                </c:pt>
                <c:pt idx="2">
                  <c:v>Unfit</c:v>
                </c:pt>
              </c:strCache>
            </c:strRef>
          </c:cat>
          <c:val>
            <c:numRef>
              <c:f>Chart4!$C$3:$C$6</c:f>
              <c:numCache>
                <c:formatCode>General</c:formatCode>
                <c:ptCount val="3"/>
                <c:pt idx="0">
                  <c:v>156</c:v>
                </c:pt>
                <c:pt idx="1">
                  <c:v>31</c:v>
                </c:pt>
                <c:pt idx="2">
                  <c:v>19</c:v>
                </c:pt>
              </c:numCache>
            </c:numRef>
          </c:val>
        </c:ser>
        <c:dLbls>
          <c:showLegendKey val="0"/>
          <c:showVal val="1"/>
          <c:showCatName val="0"/>
          <c:showSerName val="0"/>
          <c:showPercent val="0"/>
          <c:showBubbleSize val="0"/>
        </c:dLbls>
        <c:gapWidth val="150"/>
        <c:shape val="box"/>
        <c:axId val="286474112"/>
        <c:axId val="286476464"/>
        <c:axId val="0"/>
      </c:bar3DChart>
      <c:catAx>
        <c:axId val="286474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76464"/>
        <c:crosses val="autoZero"/>
        <c:auto val="1"/>
        <c:lblAlgn val="ctr"/>
        <c:lblOffset val="100"/>
        <c:noMultiLvlLbl val="0"/>
      </c:catAx>
      <c:valAx>
        <c:axId val="286476464"/>
        <c:scaling>
          <c:orientation val="minMax"/>
        </c:scaling>
        <c:delete val="1"/>
        <c:axPos val="l"/>
        <c:numFmt formatCode="General" sourceLinked="1"/>
        <c:majorTickMark val="none"/>
        <c:minorTickMark val="none"/>
        <c:tickLblPos val="nextTo"/>
        <c:crossAx val="286474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 (Autosaved) (Autosaved).xlsx]Chart3!PivotTable6</c:name>
    <c:fmtId val="4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Blood Type, Gender By Count Of Gender.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Chart3!$B$1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multiLvlStrRef>
              <c:f>Chart3!$A$2:$A$20</c:f>
              <c:multiLvlStrCache>
                <c:ptCount val="1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lvl>
                <c:lvl>
                  <c:pt idx="0">
                    <c:v>A-</c:v>
                  </c:pt>
                  <c:pt idx="2">
                    <c:v>A+</c:v>
                  </c:pt>
                  <c:pt idx="4">
                    <c:v>AB+</c:v>
                  </c:pt>
                  <c:pt idx="6">
                    <c:v>B-</c:v>
                  </c:pt>
                  <c:pt idx="8">
                    <c:v>B+</c:v>
                  </c:pt>
                  <c:pt idx="10">
                    <c:v>O+</c:v>
                  </c:pt>
                </c:lvl>
              </c:multiLvlStrCache>
            </c:multiLvlStrRef>
          </c:cat>
          <c:val>
            <c:numRef>
              <c:f>Chart3!$B$2:$B$20</c:f>
              <c:numCache>
                <c:formatCode>General</c:formatCode>
                <c:ptCount val="12"/>
                <c:pt idx="0">
                  <c:v>38</c:v>
                </c:pt>
                <c:pt idx="1">
                  <c:v>32</c:v>
                </c:pt>
                <c:pt idx="2">
                  <c:v>34</c:v>
                </c:pt>
                <c:pt idx="3">
                  <c:v>38</c:v>
                </c:pt>
                <c:pt idx="4">
                  <c:v>39</c:v>
                </c:pt>
                <c:pt idx="5">
                  <c:v>43</c:v>
                </c:pt>
                <c:pt idx="6">
                  <c:v>32</c:v>
                </c:pt>
                <c:pt idx="7">
                  <c:v>41</c:v>
                </c:pt>
                <c:pt idx="8">
                  <c:v>32</c:v>
                </c:pt>
                <c:pt idx="9">
                  <c:v>25</c:v>
                </c:pt>
                <c:pt idx="10">
                  <c:v>36</c:v>
                </c:pt>
                <c:pt idx="11">
                  <c:v>27</c:v>
                </c:pt>
              </c:numCache>
            </c:numRef>
          </c:val>
        </c:ser>
        <c:dLbls>
          <c:dLblPos val="outEnd"/>
          <c:showLegendKey val="0"/>
          <c:showVal val="1"/>
          <c:showCatName val="0"/>
          <c:showSerName val="0"/>
          <c:showPercent val="0"/>
          <c:showBubbleSize val="0"/>
        </c:dLbls>
        <c:gapWidth val="100"/>
        <c:axId val="286475288"/>
        <c:axId val="286474896"/>
      </c:barChart>
      <c:valAx>
        <c:axId val="286474896"/>
        <c:scaling>
          <c:orientation val="minMax"/>
        </c:scaling>
        <c:delete val="1"/>
        <c:axPos val="b"/>
        <c:numFmt formatCode="General" sourceLinked="1"/>
        <c:majorTickMark val="none"/>
        <c:minorTickMark val="none"/>
        <c:tickLblPos val="nextTo"/>
        <c:crossAx val="286475288"/>
        <c:crosses val="autoZero"/>
        <c:crossBetween val="between"/>
      </c:valAx>
      <c:catAx>
        <c:axId val="2864752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47489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3.xml"/><Relationship Id="rId7" Type="http://schemas.openxmlformats.org/officeDocument/2006/relationships/image" Target="../media/image2.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1.png"/><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317500</xdr:colOff>
      <xdr:row>3</xdr:row>
      <xdr:rowOff>101600</xdr:rowOff>
    </xdr:from>
    <xdr:to>
      <xdr:col>9</xdr:col>
      <xdr:colOff>234950</xdr:colOff>
      <xdr:row>17</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444500</xdr:colOff>
      <xdr:row>3</xdr:row>
      <xdr:rowOff>133350</xdr:rowOff>
    </xdr:from>
    <xdr:to>
      <xdr:col>14</xdr:col>
      <xdr:colOff>44450</xdr:colOff>
      <xdr:row>24</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393700</xdr:colOff>
      <xdr:row>3</xdr:row>
      <xdr:rowOff>25400</xdr:rowOff>
    </xdr:from>
    <xdr:to>
      <xdr:col>10</xdr:col>
      <xdr:colOff>254000</xdr:colOff>
      <xdr:row>19</xdr:row>
      <xdr:rowOff>31750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678052</xdr:colOff>
      <xdr:row>9</xdr:row>
      <xdr:rowOff>43051</xdr:rowOff>
    </xdr:from>
    <xdr:to>
      <xdr:col>7</xdr:col>
      <xdr:colOff>430509</xdr:colOff>
      <xdr:row>29</xdr:row>
      <xdr:rowOff>150678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158750</xdr:colOff>
      <xdr:row>7</xdr:row>
      <xdr:rowOff>38100</xdr:rowOff>
    </xdr:from>
    <xdr:to>
      <xdr:col>8</xdr:col>
      <xdr:colOff>234950</xdr:colOff>
      <xdr:row>22</xdr:row>
      <xdr:rowOff>101600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166194</xdr:colOff>
      <xdr:row>17</xdr:row>
      <xdr:rowOff>132930</xdr:rowOff>
    </xdr:from>
    <xdr:to>
      <xdr:col>11</xdr:col>
      <xdr:colOff>7445</xdr:colOff>
      <xdr:row>37</xdr:row>
      <xdr:rowOff>120718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197170</xdr:colOff>
      <xdr:row>41</xdr:row>
      <xdr:rowOff>174238</xdr:rowOff>
    </xdr:from>
    <xdr:to>
      <xdr:col>16</xdr:col>
      <xdr:colOff>92926</xdr:colOff>
      <xdr:row>61</xdr:row>
      <xdr:rowOff>154878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542075</xdr:colOff>
      <xdr:row>41</xdr:row>
      <xdr:rowOff>165303</xdr:rowOff>
    </xdr:from>
    <xdr:to>
      <xdr:col>32</xdr:col>
      <xdr:colOff>434206</xdr:colOff>
      <xdr:row>61</xdr:row>
      <xdr:rowOff>142406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66147</xdr:colOff>
      <xdr:row>0</xdr:row>
      <xdr:rowOff>20220</xdr:rowOff>
    </xdr:from>
    <xdr:to>
      <xdr:col>32</xdr:col>
      <xdr:colOff>387519</xdr:colOff>
      <xdr:row>6</xdr:row>
      <xdr:rowOff>8238</xdr:rowOff>
    </xdr:to>
    <xdr:sp macro="" textlink="">
      <xdr:nvSpPr>
        <xdr:cNvPr id="7" name="Rectangle 6"/>
        <xdr:cNvSpPr/>
      </xdr:nvSpPr>
      <xdr:spPr>
        <a:xfrm>
          <a:off x="1283230" y="20220"/>
          <a:ext cx="18577622" cy="1456456"/>
        </a:xfrm>
        <a:prstGeom prst="rect">
          <a:avLst/>
        </a:prstGeom>
        <a:ln w="38100">
          <a:solidFill>
            <a:srgbClr val="0070C0"/>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latin typeface="Comic Sans MS" panose="030F0702030302020204" pitchFamily="66" charset="0"/>
            </a:rPr>
            <a:t>AVIATION EMPLOYEE HEALTH DASHBOARD</a:t>
          </a:r>
          <a:r>
            <a:rPr lang="en-US" sz="2000">
              <a:solidFill>
                <a:schemeClr val="tx1"/>
              </a:solidFill>
              <a:latin typeface="Comic Sans MS" panose="030F0702030302020204" pitchFamily="66" charset="0"/>
            </a:rPr>
            <a:t>.</a:t>
          </a:r>
        </a:p>
        <a:p>
          <a:pPr algn="l"/>
          <a:endParaRPr lang="en-US" sz="2000">
            <a:solidFill>
              <a:schemeClr val="tx1"/>
            </a:solidFill>
            <a:latin typeface="Comic Sans MS" panose="030F0702030302020204" pitchFamily="66" charset="0"/>
          </a:endParaRPr>
        </a:p>
        <a:p>
          <a:pPr algn="l"/>
          <a:r>
            <a:rPr lang="en-US" sz="1800">
              <a:solidFill>
                <a:schemeClr val="tx1"/>
              </a:solidFill>
              <a:latin typeface="Comic Sans MS" panose="030F0702030302020204" pitchFamily="66" charset="0"/>
            </a:rPr>
            <a:t>AIM</a:t>
          </a:r>
          <a:r>
            <a:rPr lang="en-US" sz="1800" baseline="0">
              <a:solidFill>
                <a:schemeClr val="tx1"/>
              </a:solidFill>
              <a:latin typeface="Comic Sans MS" panose="030F0702030302020204" pitchFamily="66" charset="0"/>
            </a:rPr>
            <a:t>: To define and analyze the physical and medical status of the employees.</a:t>
          </a:r>
          <a:endParaRPr lang="en-US" sz="1800">
            <a:solidFill>
              <a:schemeClr val="tx1"/>
            </a:solidFill>
            <a:latin typeface="Comic Sans MS" panose="030F0702030302020204" pitchFamily="66" charset="0"/>
          </a:endParaRPr>
        </a:p>
      </xdr:txBody>
    </xdr:sp>
    <xdr:clientData/>
  </xdr:twoCellAnchor>
  <xdr:twoCellAnchor>
    <xdr:from>
      <xdr:col>2</xdr:col>
      <xdr:colOff>113277</xdr:colOff>
      <xdr:row>6</xdr:row>
      <xdr:rowOff>105362</xdr:rowOff>
    </xdr:from>
    <xdr:to>
      <xdr:col>9</xdr:col>
      <xdr:colOff>592084</xdr:colOff>
      <xdr:row>16</xdr:row>
      <xdr:rowOff>45793</xdr:rowOff>
    </xdr:to>
    <xdr:grpSp>
      <xdr:nvGrpSpPr>
        <xdr:cNvPr id="10" name="Group 9"/>
        <xdr:cNvGrpSpPr/>
      </xdr:nvGrpSpPr>
      <xdr:grpSpPr>
        <a:xfrm>
          <a:off x="1328060" y="1623840"/>
          <a:ext cx="4730546" cy="1873040"/>
          <a:chOff x="5487357" y="2384244"/>
          <a:chExt cx="2732803" cy="1198113"/>
        </a:xfrm>
      </xdr:grpSpPr>
      <xdr:sp macro="" textlink="">
        <xdr:nvSpPr>
          <xdr:cNvPr id="8" name="TextBox 7"/>
          <xdr:cNvSpPr txBox="1"/>
        </xdr:nvSpPr>
        <xdr:spPr>
          <a:xfrm>
            <a:off x="5487357" y="2384244"/>
            <a:ext cx="2732803" cy="1198113"/>
          </a:xfrm>
          <a:prstGeom prst="rect">
            <a:avLst/>
          </a:prstGeom>
          <a:solidFill>
            <a:schemeClr val="accent1"/>
          </a:solidFill>
          <a:ln w="28575" cmpd="sng">
            <a:solidFill>
              <a:srgbClr val="0070C0"/>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a:p>
            <a:endParaRPr lang="en-US" sz="2000">
              <a:ln>
                <a:solidFill>
                  <a:srgbClr val="0070C0"/>
                </a:solidFill>
              </a:ln>
              <a:solidFill>
                <a:schemeClr val="bg1"/>
              </a:solidFill>
              <a:latin typeface="Comic Sans MS" panose="030F0702030302020204" pitchFamily="66" charset="0"/>
            </a:endParaRPr>
          </a:p>
          <a:p>
            <a:r>
              <a:rPr lang="en-US" sz="2000" b="1">
                <a:solidFill>
                  <a:sysClr val="windowText" lastClr="000000"/>
                </a:solidFill>
                <a:latin typeface="Comic Sans MS" panose="030F0702030302020204" pitchFamily="66" charset="0"/>
              </a:rPr>
              <a:t>AVERAGE OF AGE </a:t>
            </a:r>
          </a:p>
        </xdr:txBody>
      </xdr:sp>
      <xdr:sp macro="" textlink="Chart5!J3">
        <xdr:nvSpPr>
          <xdr:cNvPr id="9" name="TextBox 8"/>
          <xdr:cNvSpPr txBox="1"/>
        </xdr:nvSpPr>
        <xdr:spPr>
          <a:xfrm>
            <a:off x="5556009" y="2407743"/>
            <a:ext cx="2396227" cy="5870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077250-81D1-4004-9D76-1D42125F8C67}" type="TxLink">
              <a:rPr lang="en-US" sz="1800" b="1" i="0" u="none" strike="noStrike">
                <a:solidFill>
                  <a:schemeClr val="tx1"/>
                </a:solidFill>
                <a:latin typeface="Comic Sans MS" panose="030F0702030302020204" pitchFamily="66" charset="0"/>
                <a:cs typeface="Calibri"/>
              </a:rPr>
              <a:pPr/>
              <a:t>40.94724221</a:t>
            </a:fld>
            <a:endParaRPr lang="en-US" sz="1800" b="1">
              <a:solidFill>
                <a:schemeClr val="tx1"/>
              </a:solidFill>
              <a:latin typeface="Comic Sans MS" panose="030F0702030302020204" pitchFamily="66" charset="0"/>
            </a:endParaRPr>
          </a:p>
        </xdr:txBody>
      </xdr:sp>
    </xdr:grpSp>
    <xdr:clientData/>
  </xdr:twoCellAnchor>
  <xdr:twoCellAnchor>
    <xdr:from>
      <xdr:col>18</xdr:col>
      <xdr:colOff>417779</xdr:colOff>
      <xdr:row>7</xdr:row>
      <xdr:rowOff>25038</xdr:rowOff>
    </xdr:from>
    <xdr:to>
      <xdr:col>25</xdr:col>
      <xdr:colOff>258541</xdr:colOff>
      <xdr:row>16</xdr:row>
      <xdr:rowOff>88086</xdr:rowOff>
    </xdr:to>
    <mc:AlternateContent xmlns:mc="http://schemas.openxmlformats.org/markup-compatibility/2006" xmlns:a14="http://schemas.microsoft.com/office/drawing/2010/main">
      <mc:Choice Requires="a14">
        <xdr:graphicFrame macro="">
          <xdr:nvGraphicFramePr>
            <xdr:cNvPr id="11" name="Job_Role"/>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1350822" y="1736777"/>
              <a:ext cx="4092502" cy="1802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265528</xdr:colOff>
      <xdr:row>6</xdr:row>
      <xdr:rowOff>161833</xdr:rowOff>
    </xdr:from>
    <xdr:to>
      <xdr:col>18</xdr:col>
      <xdr:colOff>135793</xdr:colOff>
      <xdr:row>16</xdr:row>
      <xdr:rowOff>102004</xdr:rowOff>
    </xdr:to>
    <xdr:grpSp>
      <xdr:nvGrpSpPr>
        <xdr:cNvPr id="16" name="Group 15"/>
        <xdr:cNvGrpSpPr/>
      </xdr:nvGrpSpPr>
      <xdr:grpSpPr>
        <a:xfrm>
          <a:off x="6339441" y="1680311"/>
          <a:ext cx="4729395" cy="1872780"/>
          <a:chOff x="13310575" y="4372495"/>
          <a:chExt cx="3367613" cy="1721826"/>
        </a:xfrm>
      </xdr:grpSpPr>
      <xdr:sp macro="" textlink="">
        <xdr:nvSpPr>
          <xdr:cNvPr id="14" name="TextBox 13"/>
          <xdr:cNvSpPr txBox="1"/>
        </xdr:nvSpPr>
        <xdr:spPr>
          <a:xfrm>
            <a:off x="13310575" y="4372495"/>
            <a:ext cx="3367613" cy="1721826"/>
          </a:xfrm>
          <a:prstGeom prst="rect">
            <a:avLst/>
          </a:prstGeom>
          <a:solidFill>
            <a:schemeClr val="accent1"/>
          </a:solidFill>
          <a:ln w="28575" cmpd="sng">
            <a:solidFill>
              <a:srgbClr val="0070C0"/>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a:solidFill>
                <a:schemeClr val="bg2"/>
              </a:solidFill>
              <a:latin typeface="Comic Sans MS" panose="030F0702030302020204" pitchFamily="66" charset="0"/>
            </a:endParaRPr>
          </a:p>
          <a:p>
            <a:endParaRPr lang="en-US" sz="1800">
              <a:solidFill>
                <a:schemeClr val="bg2"/>
              </a:solidFill>
              <a:latin typeface="Comic Sans MS" panose="030F0702030302020204" pitchFamily="66" charset="0"/>
            </a:endParaRPr>
          </a:p>
          <a:p>
            <a:endParaRPr lang="en-US" sz="1800">
              <a:solidFill>
                <a:schemeClr val="bg2"/>
              </a:solidFill>
              <a:latin typeface="Comic Sans MS" panose="030F0702030302020204" pitchFamily="66" charset="0"/>
            </a:endParaRPr>
          </a:p>
          <a:p>
            <a:endParaRPr lang="en-US" sz="1800">
              <a:solidFill>
                <a:schemeClr val="bg2"/>
              </a:solidFill>
              <a:latin typeface="Comic Sans MS" panose="030F0702030302020204" pitchFamily="66" charset="0"/>
            </a:endParaRPr>
          </a:p>
          <a:p>
            <a:r>
              <a:rPr lang="en-US" sz="1800" b="1">
                <a:solidFill>
                  <a:schemeClr val="tx1"/>
                </a:solidFill>
                <a:latin typeface="Comic Sans MS" panose="030F0702030302020204" pitchFamily="66" charset="0"/>
              </a:rPr>
              <a:t>AVERAGE OF HEART RATE</a:t>
            </a:r>
          </a:p>
        </xdr:txBody>
      </xdr:sp>
      <xdr:sp macro="" textlink="Chart1!E2">
        <xdr:nvSpPr>
          <xdr:cNvPr id="15" name="TextBox 14"/>
          <xdr:cNvSpPr txBox="1"/>
        </xdr:nvSpPr>
        <xdr:spPr>
          <a:xfrm>
            <a:off x="13444903" y="4531245"/>
            <a:ext cx="2942982" cy="952500"/>
          </a:xfrm>
          <a:prstGeom prst="rect">
            <a:avLst/>
          </a:prstGeom>
          <a:solidFill>
            <a:schemeClr val="accen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6E538E-4EE9-4EAF-85B8-416424B7B87C}" type="TxLink">
              <a:rPr lang="en-US" sz="1800" b="1" i="0" u="none" strike="noStrike">
                <a:solidFill>
                  <a:schemeClr val="tx1"/>
                </a:solidFill>
                <a:latin typeface="Comic Sans MS" panose="030F0702030302020204" pitchFamily="66" charset="0"/>
                <a:cs typeface="Calibri"/>
              </a:rPr>
              <a:pPr/>
              <a:t>74.94484412</a:t>
            </a:fld>
            <a:endParaRPr lang="en-US" sz="1800" b="1">
              <a:solidFill>
                <a:schemeClr val="tx1"/>
              </a:solidFill>
              <a:latin typeface="Comic Sans MS" panose="030F0702030302020204" pitchFamily="66" charset="0"/>
            </a:endParaRPr>
          </a:p>
        </xdr:txBody>
      </xdr:sp>
    </xdr:grpSp>
    <xdr:clientData/>
  </xdr:twoCellAnchor>
  <xdr:twoCellAnchor>
    <xdr:from>
      <xdr:col>25</xdr:col>
      <xdr:colOff>540528</xdr:colOff>
      <xdr:row>7</xdr:row>
      <xdr:rowOff>32836</xdr:rowOff>
    </xdr:from>
    <xdr:to>
      <xdr:col>32</xdr:col>
      <xdr:colOff>381289</xdr:colOff>
      <xdr:row>16</xdr:row>
      <xdr:rowOff>94207</xdr:rowOff>
    </xdr:to>
    <mc:AlternateContent xmlns:mc="http://schemas.openxmlformats.org/markup-compatibility/2006" xmlns:a14="http://schemas.microsoft.com/office/drawing/2010/main">
      <mc:Choice Requires="a14">
        <xdr:graphicFrame macro="">
          <xdr:nvGraphicFramePr>
            <xdr:cNvPr id="17" name="Fitness_Status"/>
            <xdr:cNvGraphicFramePr/>
          </xdr:nvGraphicFramePr>
          <xdr:xfrm>
            <a:off x="0" y="0"/>
            <a:ext cx="0" cy="0"/>
          </xdr:xfrm>
          <a:graphic>
            <a:graphicData uri="http://schemas.microsoft.com/office/drawing/2010/slicer">
              <sle:slicer xmlns:sle="http://schemas.microsoft.com/office/drawing/2010/slicer" name="Fitness_Status"/>
            </a:graphicData>
          </a:graphic>
        </xdr:graphicFrame>
      </mc:Choice>
      <mc:Fallback xmlns="">
        <xdr:sp macro="" textlink="">
          <xdr:nvSpPr>
            <xdr:cNvPr id="0" name=""/>
            <xdr:cNvSpPr>
              <a:spLocks noTextEdit="1"/>
            </xdr:cNvSpPr>
          </xdr:nvSpPr>
          <xdr:spPr>
            <a:xfrm>
              <a:off x="15725311" y="1744575"/>
              <a:ext cx="4092500" cy="1800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589303</xdr:colOff>
      <xdr:row>17</xdr:row>
      <xdr:rowOff>134327</xdr:rowOff>
    </xdr:from>
    <xdr:to>
      <xdr:col>32</xdr:col>
      <xdr:colOff>434206</xdr:colOff>
      <xdr:row>37</xdr:row>
      <xdr:rowOff>119321</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53125</xdr:colOff>
      <xdr:row>17</xdr:row>
      <xdr:rowOff>134327</xdr:rowOff>
    </xdr:from>
    <xdr:to>
      <xdr:col>21</xdr:col>
      <xdr:colOff>508606</xdr:colOff>
      <xdr:row>37</xdr:row>
      <xdr:rowOff>119321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92927</xdr:colOff>
      <xdr:row>1</xdr:row>
      <xdr:rowOff>108414</xdr:rowOff>
    </xdr:from>
    <xdr:to>
      <xdr:col>34</xdr:col>
      <xdr:colOff>357187</xdr:colOff>
      <xdr:row>72</xdr:row>
      <xdr:rowOff>63500</xdr:rowOff>
    </xdr:to>
    <xdr:sp macro="" textlink="">
      <xdr:nvSpPr>
        <xdr:cNvPr id="22" name="TextBox 21"/>
        <xdr:cNvSpPr txBox="1"/>
      </xdr:nvSpPr>
      <xdr:spPr>
        <a:xfrm>
          <a:off x="708083" y="287008"/>
          <a:ext cx="20564417" cy="12635242"/>
        </a:xfrm>
        <a:prstGeom prst="rect">
          <a:avLst/>
        </a:prstGeom>
        <a:solidFill>
          <a:schemeClr val="accent1"/>
        </a:solidFill>
        <a:ln w="57150"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275167</xdr:colOff>
      <xdr:row>2</xdr:row>
      <xdr:rowOff>127000</xdr:rowOff>
    </xdr:from>
    <xdr:to>
      <xdr:col>34</xdr:col>
      <xdr:colOff>19843</xdr:colOff>
      <xdr:row>71</xdr:row>
      <xdr:rowOff>-1</xdr:rowOff>
    </xdr:to>
    <xdr:sp macro="" textlink="">
      <xdr:nvSpPr>
        <xdr:cNvPr id="23" name="TextBox 22"/>
        <xdr:cNvSpPr txBox="1"/>
      </xdr:nvSpPr>
      <xdr:spPr>
        <a:xfrm>
          <a:off x="890323" y="484188"/>
          <a:ext cx="20044833" cy="12195967"/>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190500</xdr:colOff>
      <xdr:row>5</xdr:row>
      <xdr:rowOff>105834</xdr:rowOff>
    </xdr:from>
    <xdr:to>
      <xdr:col>32</xdr:col>
      <xdr:colOff>353122</xdr:colOff>
      <xdr:row>23</xdr:row>
      <xdr:rowOff>79139</xdr:rowOff>
    </xdr:to>
    <xdr:grpSp>
      <xdr:nvGrpSpPr>
        <xdr:cNvPr id="24" name="Group 23"/>
        <xdr:cNvGrpSpPr/>
      </xdr:nvGrpSpPr>
      <xdr:grpSpPr>
        <a:xfrm>
          <a:off x="1397000" y="1058334"/>
          <a:ext cx="18260122" cy="3402305"/>
          <a:chOff x="1336147" y="59907"/>
          <a:chExt cx="18577622" cy="3402305"/>
        </a:xfrm>
      </xdr:grpSpPr>
      <xdr:sp macro="" textlink="">
        <xdr:nvSpPr>
          <xdr:cNvPr id="25" name="Rectangle 24"/>
          <xdr:cNvSpPr/>
        </xdr:nvSpPr>
        <xdr:spPr>
          <a:xfrm>
            <a:off x="1336147" y="59907"/>
            <a:ext cx="18577622" cy="1456456"/>
          </a:xfrm>
          <a:prstGeom prst="rect">
            <a:avLst/>
          </a:prstGeom>
          <a:ln w="38100">
            <a:solidFill>
              <a:srgbClr val="0070C0"/>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latin typeface="Comic Sans MS" panose="030F0702030302020204" pitchFamily="66" charset="0"/>
              </a:rPr>
              <a:t>AVIATION EMPLOYEE HEALTH DASHBOARD</a:t>
            </a:r>
            <a:r>
              <a:rPr lang="en-US" sz="2000">
                <a:solidFill>
                  <a:schemeClr val="tx1"/>
                </a:solidFill>
                <a:latin typeface="Comic Sans MS" panose="030F0702030302020204" pitchFamily="66" charset="0"/>
              </a:rPr>
              <a:t>.</a:t>
            </a:r>
          </a:p>
          <a:p>
            <a:pPr algn="l"/>
            <a:endParaRPr lang="en-US" sz="2000">
              <a:solidFill>
                <a:schemeClr val="tx1"/>
              </a:solidFill>
              <a:latin typeface="Comic Sans MS" panose="030F0702030302020204" pitchFamily="66" charset="0"/>
            </a:endParaRPr>
          </a:p>
          <a:p>
            <a:pPr algn="l"/>
            <a:r>
              <a:rPr lang="en-US" sz="1800">
                <a:solidFill>
                  <a:schemeClr val="tx1"/>
                </a:solidFill>
                <a:latin typeface="Comic Sans MS" panose="030F0702030302020204" pitchFamily="66" charset="0"/>
              </a:rPr>
              <a:t>AIM</a:t>
            </a:r>
            <a:r>
              <a:rPr lang="en-US" sz="1800" baseline="0">
                <a:solidFill>
                  <a:schemeClr val="tx1"/>
                </a:solidFill>
                <a:latin typeface="Comic Sans MS" panose="030F0702030302020204" pitchFamily="66" charset="0"/>
              </a:rPr>
              <a:t>: To define and analyze the physical and medical status of the employees.</a:t>
            </a:r>
            <a:endParaRPr lang="en-US" sz="1800">
              <a:solidFill>
                <a:schemeClr val="tx1"/>
              </a:solidFill>
              <a:latin typeface="Comic Sans MS" panose="030F0702030302020204" pitchFamily="66" charset="0"/>
            </a:endParaRPr>
          </a:p>
        </xdr:txBody>
      </xdr:sp>
      <xdr:grpSp>
        <xdr:nvGrpSpPr>
          <xdr:cNvPr id="26" name="Group 25"/>
          <xdr:cNvGrpSpPr/>
        </xdr:nvGrpSpPr>
        <xdr:grpSpPr>
          <a:xfrm>
            <a:off x="1383277" y="1613487"/>
            <a:ext cx="4738599" cy="1792514"/>
            <a:chOff x="5487357" y="2384244"/>
            <a:chExt cx="2732803" cy="1198113"/>
          </a:xfrm>
        </xdr:grpSpPr>
        <xdr:sp macro="" textlink="">
          <xdr:nvSpPr>
            <xdr:cNvPr id="32" name="TextBox 31"/>
            <xdr:cNvSpPr txBox="1"/>
          </xdr:nvSpPr>
          <xdr:spPr>
            <a:xfrm>
              <a:off x="5487357" y="2384244"/>
              <a:ext cx="2732803" cy="1198113"/>
            </a:xfrm>
            <a:prstGeom prst="rect">
              <a:avLst/>
            </a:prstGeom>
            <a:solidFill>
              <a:schemeClr val="accent1"/>
            </a:solidFill>
            <a:ln w="28575" cmpd="sng">
              <a:solidFill>
                <a:srgbClr val="0070C0"/>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a:p>
              <a:endParaRPr lang="en-US" sz="2000">
                <a:ln>
                  <a:solidFill>
                    <a:srgbClr val="0070C0"/>
                  </a:solidFill>
                </a:ln>
                <a:solidFill>
                  <a:schemeClr val="bg1"/>
                </a:solidFill>
                <a:latin typeface="Comic Sans MS" panose="030F0702030302020204" pitchFamily="66" charset="0"/>
              </a:endParaRPr>
            </a:p>
            <a:p>
              <a:r>
                <a:rPr lang="en-US" sz="2000" b="1">
                  <a:solidFill>
                    <a:sysClr val="windowText" lastClr="000000"/>
                  </a:solidFill>
                  <a:latin typeface="Comic Sans MS" panose="030F0702030302020204" pitchFamily="66" charset="0"/>
                </a:rPr>
                <a:t>AVERAGE OF AGE </a:t>
              </a:r>
            </a:p>
          </xdr:txBody>
        </xdr:sp>
        <xdr:sp macro="" textlink="Chart5!J3">
          <xdr:nvSpPr>
            <xdr:cNvPr id="33" name="TextBox 32"/>
            <xdr:cNvSpPr txBox="1"/>
          </xdr:nvSpPr>
          <xdr:spPr>
            <a:xfrm>
              <a:off x="5556009" y="2407743"/>
              <a:ext cx="2396227" cy="5870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077250-81D1-4004-9D76-1D42125F8C67}" type="TxLink">
                <a:rPr lang="en-US" sz="1800" b="1" i="0" u="none" strike="noStrike">
                  <a:solidFill>
                    <a:schemeClr val="tx1"/>
                  </a:solidFill>
                  <a:latin typeface="Comic Sans MS" panose="030F0702030302020204" pitchFamily="66" charset="0"/>
                  <a:cs typeface="Calibri"/>
                </a:rPr>
                <a:pPr/>
                <a:t>40.94724221</a:t>
              </a:fld>
              <a:endParaRPr lang="en-US" sz="1800" b="1">
                <a:solidFill>
                  <a:schemeClr val="tx1"/>
                </a:solidFill>
                <a:latin typeface="Comic Sans MS" panose="030F0702030302020204" pitchFamily="66" charset="0"/>
              </a:endParaRPr>
            </a:p>
          </xdr:txBody>
        </xdr:sp>
      </xdr:grpSp>
      <mc:AlternateContent xmlns:mc="http://schemas.openxmlformats.org/markup-compatibility/2006" xmlns:a14="http://schemas.microsoft.com/office/drawing/2010/main">
        <mc:Choice Requires="a14">
          <xdr:graphicFrame macro="">
            <xdr:nvGraphicFramePr>
              <xdr:cNvPr id="27" name="Job_Role 1"/>
              <xdr:cNvGraphicFramePr/>
            </xdr:nvGraphicFramePr>
            <xdr:xfrm>
              <a:off x="11424446" y="1718371"/>
              <a:ext cx="4100554" cy="1729923"/>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11312885" y="2716798"/>
                <a:ext cx="4030474" cy="1729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8" name="Group 27"/>
          <xdr:cNvGrpSpPr/>
        </xdr:nvGrpSpPr>
        <xdr:grpSpPr>
          <a:xfrm>
            <a:off x="6403862" y="1669958"/>
            <a:ext cx="4738598" cy="1792254"/>
            <a:chOff x="13310575" y="4372495"/>
            <a:chExt cx="3367613" cy="1721826"/>
          </a:xfrm>
        </xdr:grpSpPr>
        <xdr:sp macro="" textlink="">
          <xdr:nvSpPr>
            <xdr:cNvPr id="30" name="TextBox 29"/>
            <xdr:cNvSpPr txBox="1"/>
          </xdr:nvSpPr>
          <xdr:spPr>
            <a:xfrm>
              <a:off x="13310575" y="4372495"/>
              <a:ext cx="3367613" cy="1721826"/>
            </a:xfrm>
            <a:prstGeom prst="rect">
              <a:avLst/>
            </a:prstGeom>
            <a:solidFill>
              <a:schemeClr val="accent1"/>
            </a:solidFill>
            <a:ln w="28575" cmpd="sng">
              <a:solidFill>
                <a:srgbClr val="0070C0"/>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a:solidFill>
                  <a:schemeClr val="bg2"/>
                </a:solidFill>
                <a:latin typeface="Comic Sans MS" panose="030F0702030302020204" pitchFamily="66" charset="0"/>
              </a:endParaRPr>
            </a:p>
            <a:p>
              <a:endParaRPr lang="en-US" sz="1800">
                <a:solidFill>
                  <a:schemeClr val="bg2"/>
                </a:solidFill>
                <a:latin typeface="Comic Sans MS" panose="030F0702030302020204" pitchFamily="66" charset="0"/>
              </a:endParaRPr>
            </a:p>
            <a:p>
              <a:endParaRPr lang="en-US" sz="1800">
                <a:solidFill>
                  <a:schemeClr val="bg2"/>
                </a:solidFill>
                <a:latin typeface="Comic Sans MS" panose="030F0702030302020204" pitchFamily="66" charset="0"/>
              </a:endParaRPr>
            </a:p>
            <a:p>
              <a:endParaRPr lang="en-US" sz="1800">
                <a:solidFill>
                  <a:schemeClr val="bg2"/>
                </a:solidFill>
                <a:latin typeface="Comic Sans MS" panose="030F0702030302020204" pitchFamily="66" charset="0"/>
              </a:endParaRPr>
            </a:p>
            <a:p>
              <a:r>
                <a:rPr lang="en-US" sz="1800" b="1">
                  <a:solidFill>
                    <a:schemeClr val="tx1"/>
                  </a:solidFill>
                  <a:latin typeface="Comic Sans MS" panose="030F0702030302020204" pitchFamily="66" charset="0"/>
                </a:rPr>
                <a:t>AVERAGE OF HEART RATE</a:t>
              </a:r>
            </a:p>
          </xdr:txBody>
        </xdr:sp>
        <xdr:sp macro="" textlink="Chart1!E2">
          <xdr:nvSpPr>
            <xdr:cNvPr id="31" name="TextBox 30"/>
            <xdr:cNvSpPr txBox="1"/>
          </xdr:nvSpPr>
          <xdr:spPr>
            <a:xfrm>
              <a:off x="13444903" y="4531245"/>
              <a:ext cx="2942982" cy="952500"/>
            </a:xfrm>
            <a:prstGeom prst="rect">
              <a:avLst/>
            </a:prstGeom>
            <a:solidFill>
              <a:schemeClr val="accen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6E538E-4EE9-4EAF-85B8-416424B7B87C}" type="TxLink">
                <a:rPr lang="en-US" sz="1800" b="1" i="0" u="none" strike="noStrike">
                  <a:solidFill>
                    <a:schemeClr val="tx1"/>
                  </a:solidFill>
                  <a:latin typeface="Comic Sans MS" panose="030F0702030302020204" pitchFamily="66" charset="0"/>
                  <a:cs typeface="Calibri"/>
                </a:rPr>
                <a:pPr/>
                <a:t>74.94484412</a:t>
              </a:fld>
              <a:endParaRPr lang="en-US" sz="1800" b="1">
                <a:solidFill>
                  <a:schemeClr val="tx1"/>
                </a:solidFill>
                <a:latin typeface="Comic Sans MS" panose="030F0702030302020204" pitchFamily="66" charset="0"/>
              </a:endParaRPr>
            </a:p>
          </xdr:txBody>
        </xdr:sp>
      </xdr:grpSp>
      <mc:AlternateContent xmlns:mc="http://schemas.openxmlformats.org/markup-compatibility/2006" xmlns:a14="http://schemas.microsoft.com/office/drawing/2010/main">
        <mc:Choice Requires="a14">
          <xdr:graphicFrame macro="">
            <xdr:nvGraphicFramePr>
              <xdr:cNvPr id="29" name="Fitness_Status 1"/>
              <xdr:cNvGraphicFramePr/>
            </xdr:nvGraphicFramePr>
            <xdr:xfrm>
              <a:off x="15806987" y="1726169"/>
              <a:ext cx="4100552" cy="1728246"/>
            </xdr:xfrm>
            <a:graphic>
              <a:graphicData uri="http://schemas.microsoft.com/office/drawing/2010/slicer">
                <sle:slicer xmlns:sle="http://schemas.microsoft.com/office/drawing/2010/slicer" name="Fitness_Status 1"/>
              </a:graphicData>
            </a:graphic>
          </xdr:graphicFrame>
        </mc:Choice>
        <mc:Fallback xmlns="">
          <xdr:sp macro="" textlink="">
            <xdr:nvSpPr>
              <xdr:cNvPr id="0" name=""/>
              <xdr:cNvSpPr>
                <a:spLocks noTextEdit="1"/>
              </xdr:cNvSpPr>
            </xdr:nvSpPr>
            <xdr:spPr>
              <a:xfrm>
                <a:off x="15620527" y="2724596"/>
                <a:ext cx="4030472" cy="1728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190499</xdr:colOff>
      <xdr:row>24</xdr:row>
      <xdr:rowOff>21168</xdr:rowOff>
    </xdr:from>
    <xdr:to>
      <xdr:col>32</xdr:col>
      <xdr:colOff>265250</xdr:colOff>
      <xdr:row>68</xdr:row>
      <xdr:rowOff>164594</xdr:rowOff>
    </xdr:to>
    <xdr:grpSp>
      <xdr:nvGrpSpPr>
        <xdr:cNvPr id="39" name="Group 38"/>
        <xdr:cNvGrpSpPr/>
      </xdr:nvGrpSpPr>
      <xdr:grpSpPr>
        <a:xfrm>
          <a:off x="1396999" y="4593168"/>
          <a:ext cx="18172251" cy="8525426"/>
          <a:chOff x="973666" y="1672168"/>
          <a:chExt cx="18489751" cy="8525426"/>
        </a:xfrm>
        <a:solidFill>
          <a:srgbClr val="002060"/>
        </a:solidFill>
      </xdr:grpSpPr>
      <xdr:graphicFrame macro="">
        <xdr:nvGraphicFramePr>
          <xdr:cNvPr id="34" name="Chart 33"/>
          <xdr:cNvGraphicFramePr>
            <a:graphicFrameLocks/>
          </xdr:cNvGraphicFramePr>
        </xdr:nvGraphicFramePr>
        <xdr:xfrm>
          <a:off x="973666" y="1672168"/>
          <a:ext cx="5307772" cy="385300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5" name="Chart 34"/>
          <xdr:cNvGraphicFramePr>
            <a:graphicFrameLocks/>
          </xdr:cNvGraphicFramePr>
        </xdr:nvGraphicFramePr>
        <xdr:xfrm>
          <a:off x="1004642" y="6351737"/>
          <a:ext cx="8399234" cy="384585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6" name="Chart 35"/>
          <xdr:cNvGraphicFramePr>
            <a:graphicFrameLocks/>
          </xdr:cNvGraphicFramePr>
        </xdr:nvGraphicFramePr>
        <xdr:xfrm>
          <a:off x="11067807" y="6342802"/>
          <a:ext cx="8395610" cy="38423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7" name="Chart 36"/>
          <xdr:cNvGraphicFramePr>
            <a:graphicFrameLocks/>
          </xdr:cNvGraphicFramePr>
        </xdr:nvGraphicFramePr>
        <xdr:xfrm>
          <a:off x="14151992" y="1673565"/>
          <a:ext cx="5311425" cy="384386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8" name="Chart 37"/>
          <xdr:cNvGraphicFramePr>
            <a:graphicFrameLocks/>
          </xdr:cNvGraphicFramePr>
        </xdr:nvGraphicFramePr>
        <xdr:xfrm>
          <a:off x="7541901" y="1673565"/>
          <a:ext cx="5314611" cy="384386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8</xdr:col>
      <xdr:colOff>232833</xdr:colOff>
      <xdr:row>16</xdr:row>
      <xdr:rowOff>179395</xdr:rowOff>
    </xdr:from>
    <xdr:to>
      <xdr:col>9</xdr:col>
      <xdr:colOff>607482</xdr:colOff>
      <xdr:row>22</xdr:row>
      <xdr:rowOff>99923</xdr:rowOff>
    </xdr:to>
    <xdr:pic>
      <xdr:nvPicPr>
        <xdr:cNvPr id="43" name="Picture 4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5143500" y="3058062"/>
          <a:ext cx="988482" cy="1000028"/>
        </a:xfrm>
        <a:prstGeom prst="rect">
          <a:avLst/>
        </a:prstGeom>
      </xdr:spPr>
    </xdr:pic>
    <xdr:clientData/>
  </xdr:twoCellAnchor>
  <xdr:twoCellAnchor editAs="oneCell">
    <xdr:from>
      <xdr:col>30</xdr:col>
      <xdr:colOff>381000</xdr:colOff>
      <xdr:row>6</xdr:row>
      <xdr:rowOff>127000</xdr:rowOff>
    </xdr:from>
    <xdr:to>
      <xdr:col>32</xdr:col>
      <xdr:colOff>169333</xdr:colOff>
      <xdr:row>12</xdr:row>
      <xdr:rowOff>63500</xdr:rowOff>
    </xdr:to>
    <xdr:pic>
      <xdr:nvPicPr>
        <xdr:cNvPr id="44" name="Picture 4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796000" y="1206500"/>
          <a:ext cx="1016000" cy="1016000"/>
        </a:xfrm>
        <a:prstGeom prst="rect">
          <a:avLst/>
        </a:prstGeom>
      </xdr:spPr>
    </xdr:pic>
    <xdr:clientData/>
  </xdr:twoCellAnchor>
  <xdr:twoCellAnchor editAs="oneCell">
    <xdr:from>
      <xdr:col>16</xdr:col>
      <xdr:colOff>497417</xdr:colOff>
      <xdr:row>18</xdr:row>
      <xdr:rowOff>63500</xdr:rowOff>
    </xdr:from>
    <xdr:to>
      <xdr:col>18</xdr:col>
      <xdr:colOff>124271</xdr:colOff>
      <xdr:row>23</xdr:row>
      <xdr:rowOff>18438</xdr:rowOff>
    </xdr:to>
    <xdr:pic>
      <xdr:nvPicPr>
        <xdr:cNvPr id="45" name="Picture 44"/>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318750" y="3302000"/>
          <a:ext cx="854521" cy="8545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51.678877546299" createdVersion="5" refreshedVersion="5" minRefreshableVersion="3" recordCount="417">
  <cacheSource type="worksheet">
    <worksheetSource name="Table1"/>
  </cacheSource>
  <cacheFields count="12">
    <cacheField name="Gender" numFmtId="0">
      <sharedItems count="2">
        <s v="Male"/>
        <s v="Female"/>
      </sharedItems>
    </cacheField>
    <cacheField name="Blood_Type" numFmtId="0">
      <sharedItems count="6">
        <s v="A-"/>
        <s v="O+"/>
        <s v="B+"/>
        <s v="AB+"/>
        <s v="A+"/>
        <s v="B-"/>
      </sharedItems>
    </cacheField>
    <cacheField name="Fitness_Status" numFmtId="0">
      <sharedItems count="3">
        <s v="Fit"/>
        <s v="Unfit"/>
        <s v="Temporarily_Unfit"/>
      </sharedItems>
    </cacheField>
    <cacheField name="Job_Role" numFmtId="0">
      <sharedItems count="4">
        <s v="Engineer"/>
        <s v="Pilot"/>
        <s v="Ground_Staff"/>
        <s v="Cabin_Crew"/>
      </sharedItems>
    </cacheField>
    <cacheField name="Age" numFmtId="0">
      <sharedItems containsSemiMixedTypes="0" containsString="0" containsNumber="1" containsInteger="1" minValue="22" maxValue="59"/>
    </cacheField>
    <cacheField name="Height_cm" numFmtId="0">
      <sharedItems containsSemiMixedTypes="0" containsString="0" containsNumber="1" containsInteger="1" minValue="155" maxValue="189"/>
    </cacheField>
    <cacheField name="Weight_kg" numFmtId="0">
      <sharedItems containsSemiMixedTypes="0" containsString="0" containsNumber="1" containsInteger="1" minValue="55" maxValue="99"/>
    </cacheField>
    <cacheField name="BMI" numFmtId="0">
      <sharedItems containsSemiMixedTypes="0" containsString="0" containsNumber="1" minValue="15.7" maxValue="40.700000000000003"/>
    </cacheField>
    <cacheField name="Blood_Pressure_Systolic" numFmtId="0">
      <sharedItems containsSemiMixedTypes="0" containsString="0" containsNumber="1" containsInteger="1" minValue="110" maxValue="149"/>
    </cacheField>
    <cacheField name="Blood_Pressure_Diastolic" numFmtId="0">
      <sharedItems containsSemiMixedTypes="0" containsString="0" containsNumber="1" containsInteger="1" minValue="70" maxValue="94"/>
    </cacheField>
    <cacheField name="Heart_Rate" numFmtId="0">
      <sharedItems containsSemiMixedTypes="0" containsString="0" containsNumber="1" containsInteger="1" minValue="60" maxValue="89" count="30">
        <n v="75"/>
        <n v="70"/>
        <n v="80"/>
        <n v="63"/>
        <n v="72"/>
        <n v="66"/>
        <n v="74"/>
        <n v="78"/>
        <n v="68"/>
        <n v="67"/>
        <n v="60"/>
        <n v="82"/>
        <n v="84"/>
        <n v="83"/>
        <n v="81"/>
        <n v="86"/>
        <n v="62"/>
        <n v="88"/>
        <n v="61"/>
        <n v="87"/>
        <n v="71"/>
        <n v="85"/>
        <n v="64"/>
        <n v="79"/>
        <n v="77"/>
        <n v="76"/>
        <n v="69"/>
        <n v="65"/>
        <n v="73"/>
        <n v="89"/>
      </sharedItems>
    </cacheField>
    <cacheField name="Vision_Score" numFmtId="0">
      <sharedItems containsSemiMixedTypes="0" containsString="0" containsNumber="1" minValue="7.5" maxValue="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17">
  <r>
    <x v="0"/>
    <x v="0"/>
    <x v="0"/>
    <x v="0"/>
    <n v="38"/>
    <n v="166"/>
    <n v="73"/>
    <n v="26.5"/>
    <n v="149"/>
    <n v="93"/>
    <x v="0"/>
    <n v="8.5"/>
  </r>
  <r>
    <x v="1"/>
    <x v="1"/>
    <x v="0"/>
    <x v="1"/>
    <n v="45"/>
    <n v="181"/>
    <n v="61"/>
    <n v="18.600000000000001"/>
    <n v="147"/>
    <n v="72"/>
    <x v="0"/>
    <n v="8.5"/>
  </r>
  <r>
    <x v="0"/>
    <x v="0"/>
    <x v="1"/>
    <x v="0"/>
    <n v="24"/>
    <n v="162"/>
    <n v="82"/>
    <n v="31.2"/>
    <n v="142"/>
    <n v="82"/>
    <x v="1"/>
    <n v="9.4"/>
  </r>
  <r>
    <x v="0"/>
    <x v="0"/>
    <x v="0"/>
    <x v="2"/>
    <n v="53"/>
    <n v="179"/>
    <n v="97"/>
    <n v="30.3"/>
    <n v="137"/>
    <n v="84"/>
    <x v="2"/>
    <n v="7.6"/>
  </r>
  <r>
    <x v="0"/>
    <x v="1"/>
    <x v="0"/>
    <x v="1"/>
    <n v="56"/>
    <n v="158"/>
    <n v="59"/>
    <n v="23.6"/>
    <n v="110"/>
    <n v="71"/>
    <x v="3"/>
    <n v="8.1999999999999993"/>
  </r>
  <r>
    <x v="1"/>
    <x v="2"/>
    <x v="1"/>
    <x v="0"/>
    <n v="59"/>
    <n v="187"/>
    <n v="59"/>
    <n v="16.899999999999999"/>
    <n v="117"/>
    <n v="80"/>
    <x v="4"/>
    <n v="8.8000000000000007"/>
  </r>
  <r>
    <x v="0"/>
    <x v="3"/>
    <x v="2"/>
    <x v="2"/>
    <n v="34"/>
    <n v="155"/>
    <n v="84"/>
    <n v="35"/>
    <n v="146"/>
    <n v="73"/>
    <x v="5"/>
    <n v="8.1999999999999993"/>
  </r>
  <r>
    <x v="0"/>
    <x v="4"/>
    <x v="0"/>
    <x v="1"/>
    <n v="46"/>
    <n v="173"/>
    <n v="86"/>
    <n v="28.7"/>
    <n v="141"/>
    <n v="88"/>
    <x v="3"/>
    <n v="9.1"/>
  </r>
  <r>
    <x v="0"/>
    <x v="5"/>
    <x v="0"/>
    <x v="2"/>
    <n v="30"/>
    <n v="185"/>
    <n v="62"/>
    <n v="18.100000000000001"/>
    <n v="146"/>
    <n v="86"/>
    <x v="6"/>
    <n v="8.6999999999999993"/>
  </r>
  <r>
    <x v="1"/>
    <x v="4"/>
    <x v="0"/>
    <x v="3"/>
    <n v="25"/>
    <n v="170"/>
    <n v="64"/>
    <n v="22.1"/>
    <n v="113"/>
    <n v="72"/>
    <x v="7"/>
    <n v="8.4"/>
  </r>
  <r>
    <x v="0"/>
    <x v="5"/>
    <x v="0"/>
    <x v="3"/>
    <n v="35"/>
    <n v="168"/>
    <n v="92"/>
    <n v="32.6"/>
    <n v="139"/>
    <n v="87"/>
    <x v="8"/>
    <n v="9.9"/>
  </r>
  <r>
    <x v="0"/>
    <x v="4"/>
    <x v="0"/>
    <x v="1"/>
    <n v="58"/>
    <n v="159"/>
    <n v="86"/>
    <n v="34"/>
    <n v="115"/>
    <n v="77"/>
    <x v="1"/>
    <n v="9.1"/>
  </r>
  <r>
    <x v="0"/>
    <x v="1"/>
    <x v="0"/>
    <x v="0"/>
    <n v="55"/>
    <n v="180"/>
    <n v="82"/>
    <n v="25.3"/>
    <n v="128"/>
    <n v="91"/>
    <x v="9"/>
    <n v="7.8"/>
  </r>
  <r>
    <x v="0"/>
    <x v="3"/>
    <x v="0"/>
    <x v="1"/>
    <n v="32"/>
    <n v="182"/>
    <n v="71"/>
    <n v="21.4"/>
    <n v="141"/>
    <n v="94"/>
    <x v="10"/>
    <n v="8.9"/>
  </r>
  <r>
    <x v="1"/>
    <x v="5"/>
    <x v="0"/>
    <x v="2"/>
    <n v="24"/>
    <n v="156"/>
    <n v="85"/>
    <n v="34.9"/>
    <n v="118"/>
    <n v="93"/>
    <x v="11"/>
    <n v="9.5"/>
  </r>
  <r>
    <x v="0"/>
    <x v="2"/>
    <x v="1"/>
    <x v="0"/>
    <n v="49"/>
    <n v="160"/>
    <n v="62"/>
    <n v="24.2"/>
    <n v="121"/>
    <n v="88"/>
    <x v="12"/>
    <n v="9.3000000000000007"/>
  </r>
  <r>
    <x v="1"/>
    <x v="4"/>
    <x v="1"/>
    <x v="3"/>
    <n v="50"/>
    <n v="163"/>
    <n v="94"/>
    <n v="35.4"/>
    <n v="120"/>
    <n v="74"/>
    <x v="13"/>
    <n v="7.9"/>
  </r>
  <r>
    <x v="1"/>
    <x v="4"/>
    <x v="0"/>
    <x v="0"/>
    <n v="30"/>
    <n v="187"/>
    <n v="79"/>
    <n v="22.6"/>
    <n v="125"/>
    <n v="76"/>
    <x v="9"/>
    <n v="9.9"/>
  </r>
  <r>
    <x v="1"/>
    <x v="5"/>
    <x v="0"/>
    <x v="3"/>
    <n v="24"/>
    <n v="179"/>
    <n v="63"/>
    <n v="19.7"/>
    <n v="110"/>
    <n v="90"/>
    <x v="4"/>
    <n v="8.6"/>
  </r>
  <r>
    <x v="0"/>
    <x v="2"/>
    <x v="0"/>
    <x v="0"/>
    <n v="46"/>
    <n v="167"/>
    <n v="56"/>
    <n v="20.100000000000001"/>
    <n v="130"/>
    <n v="77"/>
    <x v="14"/>
    <n v="7.9"/>
  </r>
  <r>
    <x v="1"/>
    <x v="2"/>
    <x v="2"/>
    <x v="0"/>
    <n v="55"/>
    <n v="163"/>
    <n v="69"/>
    <n v="26"/>
    <n v="139"/>
    <n v="74"/>
    <x v="15"/>
    <n v="8"/>
  </r>
  <r>
    <x v="0"/>
    <x v="1"/>
    <x v="0"/>
    <x v="0"/>
    <n v="33"/>
    <n v="167"/>
    <n v="57"/>
    <n v="20.399999999999999"/>
    <n v="122"/>
    <n v="86"/>
    <x v="3"/>
    <n v="7.7"/>
  </r>
  <r>
    <x v="1"/>
    <x v="1"/>
    <x v="0"/>
    <x v="2"/>
    <n v="30"/>
    <n v="185"/>
    <n v="90"/>
    <n v="26.3"/>
    <n v="143"/>
    <n v="74"/>
    <x v="9"/>
    <n v="9.5"/>
  </r>
  <r>
    <x v="1"/>
    <x v="1"/>
    <x v="1"/>
    <x v="2"/>
    <n v="36"/>
    <n v="165"/>
    <n v="58"/>
    <n v="21.3"/>
    <n v="113"/>
    <n v="73"/>
    <x v="16"/>
    <n v="7.8"/>
  </r>
  <r>
    <x v="1"/>
    <x v="1"/>
    <x v="2"/>
    <x v="1"/>
    <n v="46"/>
    <n v="158"/>
    <n v="68"/>
    <n v="27.2"/>
    <n v="137"/>
    <n v="91"/>
    <x v="17"/>
    <n v="7.8"/>
  </r>
  <r>
    <x v="1"/>
    <x v="1"/>
    <x v="1"/>
    <x v="1"/>
    <n v="26"/>
    <n v="188"/>
    <n v="95"/>
    <n v="26.9"/>
    <n v="147"/>
    <n v="88"/>
    <x v="8"/>
    <n v="9.6"/>
  </r>
  <r>
    <x v="1"/>
    <x v="1"/>
    <x v="2"/>
    <x v="3"/>
    <n v="32"/>
    <n v="158"/>
    <n v="95"/>
    <n v="38.1"/>
    <n v="140"/>
    <n v="90"/>
    <x v="17"/>
    <n v="8.4"/>
  </r>
  <r>
    <x v="1"/>
    <x v="3"/>
    <x v="0"/>
    <x v="2"/>
    <n v="55"/>
    <n v="173"/>
    <n v="79"/>
    <n v="26.4"/>
    <n v="136"/>
    <n v="71"/>
    <x v="18"/>
    <n v="7.6"/>
  </r>
  <r>
    <x v="1"/>
    <x v="2"/>
    <x v="0"/>
    <x v="3"/>
    <n v="45"/>
    <n v="160"/>
    <n v="64"/>
    <n v="25"/>
    <n v="114"/>
    <n v="80"/>
    <x v="18"/>
    <n v="7.6"/>
  </r>
  <r>
    <x v="1"/>
    <x v="1"/>
    <x v="1"/>
    <x v="1"/>
    <n v="36"/>
    <n v="188"/>
    <n v="75"/>
    <n v="21.2"/>
    <n v="134"/>
    <n v="91"/>
    <x v="19"/>
    <n v="7.9"/>
  </r>
  <r>
    <x v="0"/>
    <x v="2"/>
    <x v="2"/>
    <x v="3"/>
    <n v="59"/>
    <n v="172"/>
    <n v="90"/>
    <n v="30.4"/>
    <n v="112"/>
    <n v="82"/>
    <x v="4"/>
    <n v="8"/>
  </r>
  <r>
    <x v="0"/>
    <x v="2"/>
    <x v="0"/>
    <x v="1"/>
    <n v="29"/>
    <n v="167"/>
    <n v="66"/>
    <n v="23.7"/>
    <n v="142"/>
    <n v="84"/>
    <x v="6"/>
    <n v="9.1999999999999993"/>
  </r>
  <r>
    <x v="1"/>
    <x v="0"/>
    <x v="0"/>
    <x v="2"/>
    <n v="26"/>
    <n v="177"/>
    <n v="81"/>
    <n v="25.9"/>
    <n v="113"/>
    <n v="81"/>
    <x v="19"/>
    <n v="7.9"/>
  </r>
  <r>
    <x v="1"/>
    <x v="3"/>
    <x v="0"/>
    <x v="0"/>
    <n v="47"/>
    <n v="173"/>
    <n v="94"/>
    <n v="31.4"/>
    <n v="134"/>
    <n v="91"/>
    <x v="11"/>
    <n v="7.8"/>
  </r>
  <r>
    <x v="1"/>
    <x v="1"/>
    <x v="2"/>
    <x v="2"/>
    <n v="39"/>
    <n v="165"/>
    <n v="56"/>
    <n v="20.6"/>
    <n v="129"/>
    <n v="90"/>
    <x v="20"/>
    <n v="9.4"/>
  </r>
  <r>
    <x v="0"/>
    <x v="4"/>
    <x v="1"/>
    <x v="3"/>
    <n v="27"/>
    <n v="155"/>
    <n v="67"/>
    <n v="27.9"/>
    <n v="143"/>
    <n v="91"/>
    <x v="21"/>
    <n v="9.1999999999999993"/>
  </r>
  <r>
    <x v="1"/>
    <x v="5"/>
    <x v="0"/>
    <x v="3"/>
    <n v="58"/>
    <n v="178"/>
    <n v="86"/>
    <n v="27.1"/>
    <n v="135"/>
    <n v="80"/>
    <x v="3"/>
    <n v="8.6"/>
  </r>
  <r>
    <x v="0"/>
    <x v="4"/>
    <x v="0"/>
    <x v="2"/>
    <n v="34"/>
    <n v="161"/>
    <n v="85"/>
    <n v="32.799999999999997"/>
    <n v="114"/>
    <n v="76"/>
    <x v="21"/>
    <n v="8.9"/>
  </r>
  <r>
    <x v="0"/>
    <x v="3"/>
    <x v="0"/>
    <x v="2"/>
    <n v="49"/>
    <n v="179"/>
    <n v="70"/>
    <n v="21.8"/>
    <n v="144"/>
    <n v="74"/>
    <x v="9"/>
    <n v="8.3000000000000007"/>
  </r>
  <r>
    <x v="0"/>
    <x v="5"/>
    <x v="1"/>
    <x v="1"/>
    <n v="26"/>
    <n v="175"/>
    <n v="86"/>
    <n v="28.1"/>
    <n v="137"/>
    <n v="86"/>
    <x v="8"/>
    <n v="8.6999999999999993"/>
  </r>
  <r>
    <x v="0"/>
    <x v="3"/>
    <x v="2"/>
    <x v="3"/>
    <n v="34"/>
    <n v="169"/>
    <n v="86"/>
    <n v="30.1"/>
    <n v="138"/>
    <n v="93"/>
    <x v="11"/>
    <n v="8.8000000000000007"/>
  </r>
  <r>
    <x v="0"/>
    <x v="2"/>
    <x v="2"/>
    <x v="3"/>
    <n v="38"/>
    <n v="155"/>
    <n v="88"/>
    <n v="36.6"/>
    <n v="118"/>
    <n v="89"/>
    <x v="22"/>
    <n v="8.5"/>
  </r>
  <r>
    <x v="1"/>
    <x v="5"/>
    <x v="0"/>
    <x v="2"/>
    <n v="53"/>
    <n v="166"/>
    <n v="65"/>
    <n v="23.6"/>
    <n v="147"/>
    <n v="78"/>
    <x v="13"/>
    <n v="9.8000000000000007"/>
  </r>
  <r>
    <x v="1"/>
    <x v="2"/>
    <x v="0"/>
    <x v="0"/>
    <n v="50"/>
    <n v="161"/>
    <n v="64"/>
    <n v="24.7"/>
    <n v="115"/>
    <n v="83"/>
    <x v="23"/>
    <n v="7.5"/>
  </r>
  <r>
    <x v="1"/>
    <x v="4"/>
    <x v="0"/>
    <x v="3"/>
    <n v="24"/>
    <n v="169"/>
    <n v="69"/>
    <n v="24.2"/>
    <n v="128"/>
    <n v="81"/>
    <x v="24"/>
    <n v="9.5"/>
  </r>
  <r>
    <x v="1"/>
    <x v="4"/>
    <x v="0"/>
    <x v="0"/>
    <n v="55"/>
    <n v="175"/>
    <n v="71"/>
    <n v="23.2"/>
    <n v="120"/>
    <n v="75"/>
    <x v="1"/>
    <n v="7.8"/>
  </r>
  <r>
    <x v="1"/>
    <x v="5"/>
    <x v="2"/>
    <x v="2"/>
    <n v="48"/>
    <n v="173"/>
    <n v="94"/>
    <n v="31.4"/>
    <n v="111"/>
    <n v="86"/>
    <x v="6"/>
    <n v="9.5"/>
  </r>
  <r>
    <x v="0"/>
    <x v="5"/>
    <x v="2"/>
    <x v="2"/>
    <n v="34"/>
    <n v="183"/>
    <n v="72"/>
    <n v="21.5"/>
    <n v="118"/>
    <n v="88"/>
    <x v="19"/>
    <n v="9"/>
  </r>
  <r>
    <x v="1"/>
    <x v="1"/>
    <x v="1"/>
    <x v="1"/>
    <n v="54"/>
    <n v="179"/>
    <n v="63"/>
    <n v="19.7"/>
    <n v="130"/>
    <n v="88"/>
    <x v="14"/>
    <n v="9.6"/>
  </r>
  <r>
    <x v="1"/>
    <x v="3"/>
    <x v="1"/>
    <x v="3"/>
    <n v="27"/>
    <n v="187"/>
    <n v="79"/>
    <n v="22.6"/>
    <n v="133"/>
    <n v="85"/>
    <x v="8"/>
    <n v="7.7"/>
  </r>
  <r>
    <x v="0"/>
    <x v="1"/>
    <x v="0"/>
    <x v="0"/>
    <n v="45"/>
    <n v="186"/>
    <n v="94"/>
    <n v="27.2"/>
    <n v="143"/>
    <n v="81"/>
    <x v="25"/>
    <n v="8.9"/>
  </r>
  <r>
    <x v="1"/>
    <x v="3"/>
    <x v="2"/>
    <x v="1"/>
    <n v="40"/>
    <n v="189"/>
    <n v="68"/>
    <n v="19"/>
    <n v="131"/>
    <n v="81"/>
    <x v="15"/>
    <n v="8.8000000000000007"/>
  </r>
  <r>
    <x v="0"/>
    <x v="1"/>
    <x v="1"/>
    <x v="3"/>
    <n v="37"/>
    <n v="180"/>
    <n v="79"/>
    <n v="24.4"/>
    <n v="112"/>
    <n v="89"/>
    <x v="21"/>
    <n v="9.3000000000000007"/>
  </r>
  <r>
    <x v="1"/>
    <x v="2"/>
    <x v="2"/>
    <x v="1"/>
    <n v="49"/>
    <n v="165"/>
    <n v="76"/>
    <n v="27.9"/>
    <n v="121"/>
    <n v="75"/>
    <x v="20"/>
    <n v="8.8000000000000007"/>
  </r>
  <r>
    <x v="0"/>
    <x v="5"/>
    <x v="0"/>
    <x v="2"/>
    <n v="54"/>
    <n v="189"/>
    <n v="84"/>
    <n v="23.5"/>
    <n v="137"/>
    <n v="92"/>
    <x v="5"/>
    <n v="8.9"/>
  </r>
  <r>
    <x v="1"/>
    <x v="4"/>
    <x v="0"/>
    <x v="3"/>
    <n v="34"/>
    <n v="162"/>
    <n v="74"/>
    <n v="28.2"/>
    <n v="139"/>
    <n v="73"/>
    <x v="26"/>
    <n v="8.6"/>
  </r>
  <r>
    <x v="1"/>
    <x v="3"/>
    <x v="0"/>
    <x v="1"/>
    <n v="46"/>
    <n v="168"/>
    <n v="75"/>
    <n v="26.6"/>
    <n v="135"/>
    <n v="75"/>
    <x v="12"/>
    <n v="8.3000000000000007"/>
  </r>
  <r>
    <x v="0"/>
    <x v="3"/>
    <x v="1"/>
    <x v="1"/>
    <n v="57"/>
    <n v="164"/>
    <n v="98"/>
    <n v="36.4"/>
    <n v="130"/>
    <n v="80"/>
    <x v="21"/>
    <n v="8.6999999999999993"/>
  </r>
  <r>
    <x v="0"/>
    <x v="4"/>
    <x v="0"/>
    <x v="0"/>
    <n v="48"/>
    <n v="156"/>
    <n v="86"/>
    <n v="35.299999999999997"/>
    <n v="137"/>
    <n v="70"/>
    <x v="12"/>
    <n v="7.8"/>
  </r>
  <r>
    <x v="0"/>
    <x v="1"/>
    <x v="0"/>
    <x v="1"/>
    <n v="59"/>
    <n v="163"/>
    <n v="75"/>
    <n v="28.2"/>
    <n v="135"/>
    <n v="93"/>
    <x v="26"/>
    <n v="9.9"/>
  </r>
  <r>
    <x v="0"/>
    <x v="3"/>
    <x v="0"/>
    <x v="3"/>
    <n v="28"/>
    <n v="157"/>
    <n v="89"/>
    <n v="36.1"/>
    <n v="142"/>
    <n v="92"/>
    <x v="15"/>
    <n v="9.3000000000000007"/>
  </r>
  <r>
    <x v="0"/>
    <x v="2"/>
    <x v="0"/>
    <x v="3"/>
    <n v="26"/>
    <n v="175"/>
    <n v="86"/>
    <n v="28.1"/>
    <n v="130"/>
    <n v="84"/>
    <x v="4"/>
    <n v="9.9"/>
  </r>
  <r>
    <x v="0"/>
    <x v="5"/>
    <x v="0"/>
    <x v="0"/>
    <n v="52"/>
    <n v="180"/>
    <n v="84"/>
    <n v="25.9"/>
    <n v="144"/>
    <n v="80"/>
    <x v="7"/>
    <n v="8.1"/>
  </r>
  <r>
    <x v="0"/>
    <x v="4"/>
    <x v="0"/>
    <x v="3"/>
    <n v="44"/>
    <n v="162"/>
    <n v="93"/>
    <n v="35.4"/>
    <n v="143"/>
    <n v="94"/>
    <x v="1"/>
    <n v="9.6999999999999993"/>
  </r>
  <r>
    <x v="0"/>
    <x v="5"/>
    <x v="0"/>
    <x v="2"/>
    <n v="31"/>
    <n v="156"/>
    <n v="66"/>
    <n v="27.1"/>
    <n v="127"/>
    <n v="88"/>
    <x v="4"/>
    <n v="9.5"/>
  </r>
  <r>
    <x v="1"/>
    <x v="3"/>
    <x v="0"/>
    <x v="3"/>
    <n v="53"/>
    <n v="160"/>
    <n v="95"/>
    <n v="37.1"/>
    <n v="120"/>
    <n v="87"/>
    <x v="2"/>
    <n v="9.1999999999999993"/>
  </r>
  <r>
    <x v="1"/>
    <x v="3"/>
    <x v="2"/>
    <x v="3"/>
    <n v="51"/>
    <n v="182"/>
    <n v="72"/>
    <n v="21.7"/>
    <n v="132"/>
    <n v="86"/>
    <x v="9"/>
    <n v="9.1"/>
  </r>
  <r>
    <x v="0"/>
    <x v="4"/>
    <x v="0"/>
    <x v="1"/>
    <n v="52"/>
    <n v="183"/>
    <n v="75"/>
    <n v="22.4"/>
    <n v="131"/>
    <n v="88"/>
    <x v="9"/>
    <n v="8.3000000000000007"/>
  </r>
  <r>
    <x v="1"/>
    <x v="2"/>
    <x v="2"/>
    <x v="1"/>
    <n v="39"/>
    <n v="180"/>
    <n v="67"/>
    <n v="20.7"/>
    <n v="126"/>
    <n v="90"/>
    <x v="3"/>
    <n v="9.5"/>
  </r>
  <r>
    <x v="1"/>
    <x v="0"/>
    <x v="0"/>
    <x v="3"/>
    <n v="57"/>
    <n v="179"/>
    <n v="75"/>
    <n v="23.4"/>
    <n v="114"/>
    <n v="83"/>
    <x v="6"/>
    <n v="8.8000000000000007"/>
  </r>
  <r>
    <x v="1"/>
    <x v="4"/>
    <x v="0"/>
    <x v="0"/>
    <n v="23"/>
    <n v="166"/>
    <n v="62"/>
    <n v="22.5"/>
    <n v="120"/>
    <n v="87"/>
    <x v="19"/>
    <n v="7.7"/>
  </r>
  <r>
    <x v="1"/>
    <x v="0"/>
    <x v="2"/>
    <x v="1"/>
    <n v="35"/>
    <n v="159"/>
    <n v="94"/>
    <n v="37.200000000000003"/>
    <n v="139"/>
    <n v="88"/>
    <x v="1"/>
    <n v="8.3000000000000007"/>
  </r>
  <r>
    <x v="0"/>
    <x v="1"/>
    <x v="0"/>
    <x v="0"/>
    <n v="34"/>
    <n v="188"/>
    <n v="61"/>
    <n v="17.3"/>
    <n v="124"/>
    <n v="84"/>
    <x v="1"/>
    <n v="9.8000000000000007"/>
  </r>
  <r>
    <x v="1"/>
    <x v="0"/>
    <x v="0"/>
    <x v="3"/>
    <n v="50"/>
    <n v="169"/>
    <n v="77"/>
    <n v="27"/>
    <n v="136"/>
    <n v="84"/>
    <x v="10"/>
    <n v="9.6"/>
  </r>
  <r>
    <x v="0"/>
    <x v="2"/>
    <x v="0"/>
    <x v="3"/>
    <n v="33"/>
    <n v="169"/>
    <n v="98"/>
    <n v="34.299999999999997"/>
    <n v="144"/>
    <n v="73"/>
    <x v="25"/>
    <n v="10"/>
  </r>
  <r>
    <x v="1"/>
    <x v="1"/>
    <x v="2"/>
    <x v="2"/>
    <n v="23"/>
    <n v="177"/>
    <n v="86"/>
    <n v="27.5"/>
    <n v="142"/>
    <n v="76"/>
    <x v="6"/>
    <n v="9.1"/>
  </r>
  <r>
    <x v="1"/>
    <x v="0"/>
    <x v="0"/>
    <x v="1"/>
    <n v="53"/>
    <n v="160"/>
    <n v="65"/>
    <n v="25.4"/>
    <n v="129"/>
    <n v="82"/>
    <x v="23"/>
    <n v="8.1"/>
  </r>
  <r>
    <x v="1"/>
    <x v="1"/>
    <x v="2"/>
    <x v="3"/>
    <n v="34"/>
    <n v="175"/>
    <n v="76"/>
    <n v="24.8"/>
    <n v="125"/>
    <n v="72"/>
    <x v="27"/>
    <n v="7.9"/>
  </r>
  <r>
    <x v="0"/>
    <x v="0"/>
    <x v="0"/>
    <x v="2"/>
    <n v="48"/>
    <n v="177"/>
    <n v="76"/>
    <n v="24.3"/>
    <n v="143"/>
    <n v="85"/>
    <x v="13"/>
    <n v="8"/>
  </r>
  <r>
    <x v="1"/>
    <x v="2"/>
    <x v="0"/>
    <x v="1"/>
    <n v="38"/>
    <n v="170"/>
    <n v="97"/>
    <n v="33.6"/>
    <n v="111"/>
    <n v="78"/>
    <x v="14"/>
    <n v="7.5"/>
  </r>
  <r>
    <x v="0"/>
    <x v="0"/>
    <x v="0"/>
    <x v="3"/>
    <n v="52"/>
    <n v="169"/>
    <n v="79"/>
    <n v="27.7"/>
    <n v="144"/>
    <n v="77"/>
    <x v="19"/>
    <n v="8.5"/>
  </r>
  <r>
    <x v="1"/>
    <x v="0"/>
    <x v="0"/>
    <x v="3"/>
    <n v="55"/>
    <n v="179"/>
    <n v="76"/>
    <n v="23.7"/>
    <n v="149"/>
    <n v="89"/>
    <x v="12"/>
    <n v="8"/>
  </r>
  <r>
    <x v="0"/>
    <x v="0"/>
    <x v="0"/>
    <x v="1"/>
    <n v="45"/>
    <n v="165"/>
    <n v="82"/>
    <n v="30.1"/>
    <n v="137"/>
    <n v="82"/>
    <x v="6"/>
    <n v="8.5"/>
  </r>
  <r>
    <x v="1"/>
    <x v="4"/>
    <x v="0"/>
    <x v="1"/>
    <n v="56"/>
    <n v="169"/>
    <n v="83"/>
    <n v="29.1"/>
    <n v="148"/>
    <n v="86"/>
    <x v="8"/>
    <n v="9.8000000000000007"/>
  </r>
  <r>
    <x v="0"/>
    <x v="4"/>
    <x v="0"/>
    <x v="1"/>
    <n v="27"/>
    <n v="158"/>
    <n v="67"/>
    <n v="26.8"/>
    <n v="115"/>
    <n v="86"/>
    <x v="28"/>
    <n v="8.6"/>
  </r>
  <r>
    <x v="0"/>
    <x v="4"/>
    <x v="1"/>
    <x v="3"/>
    <n v="40"/>
    <n v="175"/>
    <n v="72"/>
    <n v="23.5"/>
    <n v="118"/>
    <n v="86"/>
    <x v="24"/>
    <n v="9.6999999999999993"/>
  </r>
  <r>
    <x v="1"/>
    <x v="2"/>
    <x v="0"/>
    <x v="3"/>
    <n v="51"/>
    <n v="167"/>
    <n v="56"/>
    <n v="20.100000000000001"/>
    <n v="129"/>
    <n v="70"/>
    <x v="21"/>
    <n v="9"/>
  </r>
  <r>
    <x v="0"/>
    <x v="1"/>
    <x v="0"/>
    <x v="2"/>
    <n v="28"/>
    <n v="176"/>
    <n v="83"/>
    <n v="26.8"/>
    <n v="110"/>
    <n v="77"/>
    <x v="25"/>
    <n v="8.1"/>
  </r>
  <r>
    <x v="1"/>
    <x v="3"/>
    <x v="2"/>
    <x v="0"/>
    <n v="31"/>
    <n v="173"/>
    <n v="75"/>
    <n v="25.1"/>
    <n v="117"/>
    <n v="88"/>
    <x v="24"/>
    <n v="8.4"/>
  </r>
  <r>
    <x v="1"/>
    <x v="0"/>
    <x v="0"/>
    <x v="1"/>
    <n v="53"/>
    <n v="188"/>
    <n v="69"/>
    <n v="19.5"/>
    <n v="132"/>
    <n v="75"/>
    <x v="22"/>
    <n v="7.7"/>
  </r>
  <r>
    <x v="1"/>
    <x v="0"/>
    <x v="0"/>
    <x v="3"/>
    <n v="55"/>
    <n v="168"/>
    <n v="81"/>
    <n v="28.7"/>
    <n v="112"/>
    <n v="72"/>
    <x v="23"/>
    <n v="8.3000000000000007"/>
  </r>
  <r>
    <x v="1"/>
    <x v="2"/>
    <x v="2"/>
    <x v="3"/>
    <n v="49"/>
    <n v="158"/>
    <n v="85"/>
    <n v="34"/>
    <n v="113"/>
    <n v="74"/>
    <x v="23"/>
    <n v="9.1999999999999993"/>
  </r>
  <r>
    <x v="1"/>
    <x v="0"/>
    <x v="1"/>
    <x v="1"/>
    <n v="36"/>
    <n v="181"/>
    <n v="69"/>
    <n v="21.1"/>
    <n v="134"/>
    <n v="82"/>
    <x v="8"/>
    <n v="7.7"/>
  </r>
  <r>
    <x v="1"/>
    <x v="4"/>
    <x v="0"/>
    <x v="0"/>
    <n v="51"/>
    <n v="183"/>
    <n v="77"/>
    <n v="23"/>
    <n v="147"/>
    <n v="84"/>
    <x v="1"/>
    <n v="8"/>
  </r>
  <r>
    <x v="1"/>
    <x v="3"/>
    <x v="1"/>
    <x v="1"/>
    <n v="58"/>
    <n v="182"/>
    <n v="78"/>
    <n v="23.5"/>
    <n v="124"/>
    <n v="83"/>
    <x v="13"/>
    <n v="8.5"/>
  </r>
  <r>
    <x v="1"/>
    <x v="5"/>
    <x v="0"/>
    <x v="0"/>
    <n v="50"/>
    <n v="189"/>
    <n v="98"/>
    <n v="27.4"/>
    <n v="130"/>
    <n v="92"/>
    <x v="14"/>
    <n v="10"/>
  </r>
  <r>
    <x v="1"/>
    <x v="0"/>
    <x v="0"/>
    <x v="3"/>
    <n v="43"/>
    <n v="162"/>
    <n v="67"/>
    <n v="25.5"/>
    <n v="144"/>
    <n v="85"/>
    <x v="10"/>
    <n v="9.5"/>
  </r>
  <r>
    <x v="1"/>
    <x v="4"/>
    <x v="0"/>
    <x v="0"/>
    <n v="25"/>
    <n v="170"/>
    <n v="76"/>
    <n v="26.3"/>
    <n v="123"/>
    <n v="87"/>
    <x v="24"/>
    <n v="9.3000000000000007"/>
  </r>
  <r>
    <x v="1"/>
    <x v="5"/>
    <x v="1"/>
    <x v="2"/>
    <n v="41"/>
    <n v="184"/>
    <n v="97"/>
    <n v="28.7"/>
    <n v="145"/>
    <n v="91"/>
    <x v="27"/>
    <n v="7.8"/>
  </r>
  <r>
    <x v="0"/>
    <x v="3"/>
    <x v="0"/>
    <x v="3"/>
    <n v="53"/>
    <n v="172"/>
    <n v="91"/>
    <n v="30.8"/>
    <n v="121"/>
    <n v="91"/>
    <x v="15"/>
    <n v="9.5"/>
  </r>
  <r>
    <x v="0"/>
    <x v="5"/>
    <x v="0"/>
    <x v="2"/>
    <n v="57"/>
    <n v="156"/>
    <n v="87"/>
    <n v="35.700000000000003"/>
    <n v="126"/>
    <n v="80"/>
    <x v="18"/>
    <n v="9.5"/>
  </r>
  <r>
    <x v="1"/>
    <x v="4"/>
    <x v="0"/>
    <x v="1"/>
    <n v="25"/>
    <n v="167"/>
    <n v="57"/>
    <n v="20.399999999999999"/>
    <n v="148"/>
    <n v="72"/>
    <x v="6"/>
    <n v="9"/>
  </r>
  <r>
    <x v="1"/>
    <x v="1"/>
    <x v="0"/>
    <x v="1"/>
    <n v="48"/>
    <n v="158"/>
    <n v="73"/>
    <n v="29.2"/>
    <n v="118"/>
    <n v="91"/>
    <x v="17"/>
    <n v="10"/>
  </r>
  <r>
    <x v="1"/>
    <x v="1"/>
    <x v="0"/>
    <x v="1"/>
    <n v="38"/>
    <n v="180"/>
    <n v="77"/>
    <n v="23.8"/>
    <n v="144"/>
    <n v="79"/>
    <x v="21"/>
    <n v="8.3000000000000007"/>
  </r>
  <r>
    <x v="1"/>
    <x v="5"/>
    <x v="0"/>
    <x v="0"/>
    <n v="33"/>
    <n v="179"/>
    <n v="83"/>
    <n v="25.9"/>
    <n v="122"/>
    <n v="79"/>
    <x v="2"/>
    <n v="9.9"/>
  </r>
  <r>
    <x v="1"/>
    <x v="2"/>
    <x v="0"/>
    <x v="3"/>
    <n v="43"/>
    <n v="184"/>
    <n v="84"/>
    <n v="24.8"/>
    <n v="124"/>
    <n v="90"/>
    <x v="28"/>
    <n v="9.8000000000000007"/>
  </r>
  <r>
    <x v="1"/>
    <x v="5"/>
    <x v="0"/>
    <x v="1"/>
    <n v="38"/>
    <n v="165"/>
    <n v="93"/>
    <n v="34.200000000000003"/>
    <n v="127"/>
    <n v="85"/>
    <x v="22"/>
    <n v="7.5"/>
  </r>
  <r>
    <x v="1"/>
    <x v="0"/>
    <x v="0"/>
    <x v="1"/>
    <n v="31"/>
    <n v="161"/>
    <n v="98"/>
    <n v="37.799999999999997"/>
    <n v="142"/>
    <n v="81"/>
    <x v="27"/>
    <n v="8.6"/>
  </r>
  <r>
    <x v="1"/>
    <x v="0"/>
    <x v="0"/>
    <x v="3"/>
    <n v="22"/>
    <n v="185"/>
    <n v="79"/>
    <n v="23.1"/>
    <n v="115"/>
    <n v="71"/>
    <x v="27"/>
    <n v="9.9"/>
  </r>
  <r>
    <x v="0"/>
    <x v="1"/>
    <x v="0"/>
    <x v="1"/>
    <n v="43"/>
    <n v="164"/>
    <n v="91"/>
    <n v="33.799999999999997"/>
    <n v="136"/>
    <n v="78"/>
    <x v="29"/>
    <n v="7.8"/>
  </r>
  <r>
    <x v="1"/>
    <x v="2"/>
    <x v="0"/>
    <x v="2"/>
    <n v="47"/>
    <n v="167"/>
    <n v="62"/>
    <n v="22.2"/>
    <n v="132"/>
    <n v="93"/>
    <x v="14"/>
    <n v="8.9"/>
  </r>
  <r>
    <x v="0"/>
    <x v="4"/>
    <x v="2"/>
    <x v="3"/>
    <n v="39"/>
    <n v="185"/>
    <n v="96"/>
    <n v="28"/>
    <n v="136"/>
    <n v="72"/>
    <x v="29"/>
    <n v="9.9"/>
  </r>
  <r>
    <x v="1"/>
    <x v="0"/>
    <x v="0"/>
    <x v="3"/>
    <n v="35"/>
    <n v="161"/>
    <n v="70"/>
    <n v="27"/>
    <n v="143"/>
    <n v="93"/>
    <x v="24"/>
    <n v="8.9"/>
  </r>
  <r>
    <x v="1"/>
    <x v="1"/>
    <x v="0"/>
    <x v="3"/>
    <n v="50"/>
    <n v="174"/>
    <n v="62"/>
    <n v="20.5"/>
    <n v="147"/>
    <n v="94"/>
    <x v="28"/>
    <n v="8"/>
  </r>
  <r>
    <x v="0"/>
    <x v="3"/>
    <x v="0"/>
    <x v="2"/>
    <n v="33"/>
    <n v="158"/>
    <n v="55"/>
    <n v="22"/>
    <n v="123"/>
    <n v="84"/>
    <x v="26"/>
    <n v="9"/>
  </r>
  <r>
    <x v="1"/>
    <x v="1"/>
    <x v="0"/>
    <x v="3"/>
    <n v="57"/>
    <n v="161"/>
    <n v="98"/>
    <n v="37.799999999999997"/>
    <n v="145"/>
    <n v="72"/>
    <x v="28"/>
    <n v="8"/>
  </r>
  <r>
    <x v="0"/>
    <x v="0"/>
    <x v="0"/>
    <x v="2"/>
    <n v="56"/>
    <n v="155"/>
    <n v="59"/>
    <n v="24.6"/>
    <n v="117"/>
    <n v="88"/>
    <x v="4"/>
    <n v="8.8000000000000007"/>
  </r>
  <r>
    <x v="1"/>
    <x v="0"/>
    <x v="0"/>
    <x v="3"/>
    <n v="33"/>
    <n v="167"/>
    <n v="57"/>
    <n v="20.399999999999999"/>
    <n v="144"/>
    <n v="87"/>
    <x v="29"/>
    <n v="7.7"/>
  </r>
  <r>
    <x v="1"/>
    <x v="1"/>
    <x v="0"/>
    <x v="0"/>
    <n v="28"/>
    <n v="176"/>
    <n v="55"/>
    <n v="17.8"/>
    <n v="128"/>
    <n v="77"/>
    <x v="16"/>
    <n v="9"/>
  </r>
  <r>
    <x v="0"/>
    <x v="4"/>
    <x v="0"/>
    <x v="1"/>
    <n v="50"/>
    <n v="175"/>
    <n v="58"/>
    <n v="18.899999999999999"/>
    <n v="139"/>
    <n v="86"/>
    <x v="29"/>
    <n v="8.8000000000000007"/>
  </r>
  <r>
    <x v="1"/>
    <x v="5"/>
    <x v="0"/>
    <x v="0"/>
    <n v="32"/>
    <n v="176"/>
    <n v="94"/>
    <n v="30.3"/>
    <n v="123"/>
    <n v="77"/>
    <x v="27"/>
    <n v="9.4"/>
  </r>
  <r>
    <x v="0"/>
    <x v="0"/>
    <x v="0"/>
    <x v="1"/>
    <n v="54"/>
    <n v="182"/>
    <n v="89"/>
    <n v="26.9"/>
    <n v="129"/>
    <n v="76"/>
    <x v="17"/>
    <n v="9.1"/>
  </r>
  <r>
    <x v="1"/>
    <x v="1"/>
    <x v="0"/>
    <x v="2"/>
    <n v="27"/>
    <n v="163"/>
    <n v="86"/>
    <n v="32.4"/>
    <n v="134"/>
    <n v="76"/>
    <x v="9"/>
    <n v="8.9"/>
  </r>
  <r>
    <x v="0"/>
    <x v="1"/>
    <x v="0"/>
    <x v="0"/>
    <n v="36"/>
    <n v="180"/>
    <n v="96"/>
    <n v="29.6"/>
    <n v="149"/>
    <n v="72"/>
    <x v="20"/>
    <n v="9.1999999999999993"/>
  </r>
  <r>
    <x v="0"/>
    <x v="2"/>
    <x v="0"/>
    <x v="3"/>
    <n v="53"/>
    <n v="163"/>
    <n v="88"/>
    <n v="33.1"/>
    <n v="133"/>
    <n v="70"/>
    <x v="4"/>
    <n v="7.9"/>
  </r>
  <r>
    <x v="1"/>
    <x v="5"/>
    <x v="0"/>
    <x v="1"/>
    <n v="32"/>
    <n v="169"/>
    <n v="97"/>
    <n v="34"/>
    <n v="123"/>
    <n v="73"/>
    <x v="1"/>
    <n v="9"/>
  </r>
  <r>
    <x v="1"/>
    <x v="3"/>
    <x v="0"/>
    <x v="1"/>
    <n v="44"/>
    <n v="164"/>
    <n v="79"/>
    <n v="29.4"/>
    <n v="135"/>
    <n v="94"/>
    <x v="20"/>
    <n v="7.9"/>
  </r>
  <r>
    <x v="0"/>
    <x v="4"/>
    <x v="0"/>
    <x v="0"/>
    <n v="47"/>
    <n v="178"/>
    <n v="64"/>
    <n v="20.2"/>
    <n v="147"/>
    <n v="74"/>
    <x v="10"/>
    <n v="9.8000000000000007"/>
  </r>
  <r>
    <x v="1"/>
    <x v="3"/>
    <x v="2"/>
    <x v="2"/>
    <n v="55"/>
    <n v="162"/>
    <n v="75"/>
    <n v="28.6"/>
    <n v="132"/>
    <n v="70"/>
    <x v="25"/>
    <n v="7.7"/>
  </r>
  <r>
    <x v="1"/>
    <x v="5"/>
    <x v="0"/>
    <x v="0"/>
    <n v="55"/>
    <n v="178"/>
    <n v="93"/>
    <n v="29.4"/>
    <n v="131"/>
    <n v="84"/>
    <x v="0"/>
    <n v="8.6"/>
  </r>
  <r>
    <x v="1"/>
    <x v="5"/>
    <x v="0"/>
    <x v="2"/>
    <n v="50"/>
    <n v="170"/>
    <n v="81"/>
    <n v="28"/>
    <n v="128"/>
    <n v="74"/>
    <x v="1"/>
    <n v="9.1999999999999993"/>
  </r>
  <r>
    <x v="0"/>
    <x v="5"/>
    <x v="2"/>
    <x v="2"/>
    <n v="25"/>
    <n v="180"/>
    <n v="81"/>
    <n v="25"/>
    <n v="112"/>
    <n v="82"/>
    <x v="4"/>
    <n v="8.6"/>
  </r>
  <r>
    <x v="0"/>
    <x v="3"/>
    <x v="1"/>
    <x v="1"/>
    <n v="38"/>
    <n v="181"/>
    <n v="56"/>
    <n v="17.100000000000001"/>
    <n v="128"/>
    <n v="77"/>
    <x v="24"/>
    <n v="7.7"/>
  </r>
  <r>
    <x v="0"/>
    <x v="5"/>
    <x v="0"/>
    <x v="0"/>
    <n v="56"/>
    <n v="158"/>
    <n v="95"/>
    <n v="38.1"/>
    <n v="118"/>
    <n v="77"/>
    <x v="1"/>
    <n v="8.9"/>
  </r>
  <r>
    <x v="0"/>
    <x v="1"/>
    <x v="0"/>
    <x v="0"/>
    <n v="34"/>
    <n v="178"/>
    <n v="67"/>
    <n v="21.1"/>
    <n v="137"/>
    <n v="74"/>
    <x v="19"/>
    <n v="9.1"/>
  </r>
  <r>
    <x v="0"/>
    <x v="3"/>
    <x v="2"/>
    <x v="2"/>
    <n v="36"/>
    <n v="173"/>
    <n v="63"/>
    <n v="21"/>
    <n v="129"/>
    <n v="78"/>
    <x v="20"/>
    <n v="9.3000000000000007"/>
  </r>
  <r>
    <x v="0"/>
    <x v="5"/>
    <x v="2"/>
    <x v="0"/>
    <n v="50"/>
    <n v="164"/>
    <n v="90"/>
    <n v="33.5"/>
    <n v="116"/>
    <n v="70"/>
    <x v="27"/>
    <n v="8.4"/>
  </r>
  <r>
    <x v="0"/>
    <x v="1"/>
    <x v="0"/>
    <x v="3"/>
    <n v="50"/>
    <n v="179"/>
    <n v="76"/>
    <n v="23.7"/>
    <n v="123"/>
    <n v="73"/>
    <x v="8"/>
    <n v="8.9"/>
  </r>
  <r>
    <x v="0"/>
    <x v="2"/>
    <x v="0"/>
    <x v="3"/>
    <n v="32"/>
    <n v="172"/>
    <n v="96"/>
    <n v="32.4"/>
    <n v="118"/>
    <n v="72"/>
    <x v="0"/>
    <n v="8.6"/>
  </r>
  <r>
    <x v="0"/>
    <x v="5"/>
    <x v="0"/>
    <x v="0"/>
    <n v="53"/>
    <n v="173"/>
    <n v="80"/>
    <n v="26.7"/>
    <n v="128"/>
    <n v="71"/>
    <x v="3"/>
    <n v="9.1999999999999993"/>
  </r>
  <r>
    <x v="1"/>
    <x v="3"/>
    <x v="0"/>
    <x v="0"/>
    <n v="23"/>
    <n v="164"/>
    <n v="66"/>
    <n v="24.5"/>
    <n v="123"/>
    <n v="77"/>
    <x v="16"/>
    <n v="9"/>
  </r>
  <r>
    <x v="0"/>
    <x v="0"/>
    <x v="0"/>
    <x v="2"/>
    <n v="35"/>
    <n v="187"/>
    <n v="71"/>
    <n v="20.3"/>
    <n v="147"/>
    <n v="92"/>
    <x v="19"/>
    <n v="8.8000000000000007"/>
  </r>
  <r>
    <x v="1"/>
    <x v="5"/>
    <x v="0"/>
    <x v="3"/>
    <n v="41"/>
    <n v="159"/>
    <n v="68"/>
    <n v="26.9"/>
    <n v="145"/>
    <n v="78"/>
    <x v="0"/>
    <n v="8.1"/>
  </r>
  <r>
    <x v="1"/>
    <x v="0"/>
    <x v="0"/>
    <x v="3"/>
    <n v="43"/>
    <n v="189"/>
    <n v="68"/>
    <n v="19"/>
    <n v="149"/>
    <n v="71"/>
    <x v="13"/>
    <n v="7.5"/>
  </r>
  <r>
    <x v="1"/>
    <x v="1"/>
    <x v="2"/>
    <x v="1"/>
    <n v="32"/>
    <n v="188"/>
    <n v="88"/>
    <n v="24.9"/>
    <n v="126"/>
    <n v="83"/>
    <x v="15"/>
    <n v="7.9"/>
  </r>
  <r>
    <x v="0"/>
    <x v="2"/>
    <x v="0"/>
    <x v="2"/>
    <n v="48"/>
    <n v="187"/>
    <n v="74"/>
    <n v="21.2"/>
    <n v="139"/>
    <n v="83"/>
    <x v="21"/>
    <n v="7.8"/>
  </r>
  <r>
    <x v="0"/>
    <x v="4"/>
    <x v="0"/>
    <x v="1"/>
    <n v="24"/>
    <n v="175"/>
    <n v="65"/>
    <n v="21.2"/>
    <n v="118"/>
    <n v="73"/>
    <x v="29"/>
    <n v="8.6"/>
  </r>
  <r>
    <x v="0"/>
    <x v="2"/>
    <x v="2"/>
    <x v="3"/>
    <n v="38"/>
    <n v="171"/>
    <n v="70"/>
    <n v="23.9"/>
    <n v="142"/>
    <n v="75"/>
    <x v="12"/>
    <n v="9"/>
  </r>
  <r>
    <x v="0"/>
    <x v="5"/>
    <x v="2"/>
    <x v="2"/>
    <n v="49"/>
    <n v="176"/>
    <n v="85"/>
    <n v="27.4"/>
    <n v="134"/>
    <n v="80"/>
    <x v="20"/>
    <n v="8"/>
  </r>
  <r>
    <x v="1"/>
    <x v="0"/>
    <x v="0"/>
    <x v="0"/>
    <n v="50"/>
    <n v="169"/>
    <n v="60"/>
    <n v="21"/>
    <n v="123"/>
    <n v="72"/>
    <x v="1"/>
    <n v="9.8000000000000007"/>
  </r>
  <r>
    <x v="0"/>
    <x v="0"/>
    <x v="0"/>
    <x v="2"/>
    <n v="42"/>
    <n v="189"/>
    <n v="73"/>
    <n v="20.399999999999999"/>
    <n v="120"/>
    <n v="77"/>
    <x v="22"/>
    <n v="7.5"/>
  </r>
  <r>
    <x v="0"/>
    <x v="3"/>
    <x v="0"/>
    <x v="0"/>
    <n v="37"/>
    <n v="182"/>
    <n v="91"/>
    <n v="27.5"/>
    <n v="144"/>
    <n v="72"/>
    <x v="12"/>
    <n v="9.4"/>
  </r>
  <r>
    <x v="0"/>
    <x v="0"/>
    <x v="0"/>
    <x v="0"/>
    <n v="58"/>
    <n v="161"/>
    <n v="58"/>
    <n v="22.4"/>
    <n v="123"/>
    <n v="83"/>
    <x v="24"/>
    <n v="9.1"/>
  </r>
  <r>
    <x v="0"/>
    <x v="3"/>
    <x v="0"/>
    <x v="2"/>
    <n v="41"/>
    <n v="186"/>
    <n v="58"/>
    <n v="16.8"/>
    <n v="139"/>
    <n v="82"/>
    <x v="7"/>
    <n v="8.4"/>
  </r>
  <r>
    <x v="0"/>
    <x v="1"/>
    <x v="0"/>
    <x v="0"/>
    <n v="27"/>
    <n v="165"/>
    <n v="74"/>
    <n v="27.2"/>
    <n v="113"/>
    <n v="82"/>
    <x v="11"/>
    <n v="7.6"/>
  </r>
  <r>
    <x v="1"/>
    <x v="4"/>
    <x v="0"/>
    <x v="1"/>
    <n v="40"/>
    <n v="164"/>
    <n v="64"/>
    <n v="23.8"/>
    <n v="113"/>
    <n v="71"/>
    <x v="11"/>
    <n v="9.1"/>
  </r>
  <r>
    <x v="0"/>
    <x v="5"/>
    <x v="0"/>
    <x v="3"/>
    <n v="26"/>
    <n v="163"/>
    <n v="78"/>
    <n v="29.4"/>
    <n v="137"/>
    <n v="82"/>
    <x v="27"/>
    <n v="8.5"/>
  </r>
  <r>
    <x v="1"/>
    <x v="3"/>
    <x v="0"/>
    <x v="0"/>
    <n v="24"/>
    <n v="168"/>
    <n v="89"/>
    <n v="31.5"/>
    <n v="117"/>
    <n v="88"/>
    <x v="14"/>
    <n v="9.8000000000000007"/>
  </r>
  <r>
    <x v="0"/>
    <x v="4"/>
    <x v="0"/>
    <x v="1"/>
    <n v="22"/>
    <n v="167"/>
    <n v="80"/>
    <n v="28.7"/>
    <n v="111"/>
    <n v="75"/>
    <x v="24"/>
    <n v="8.9"/>
  </r>
  <r>
    <x v="1"/>
    <x v="0"/>
    <x v="0"/>
    <x v="0"/>
    <n v="59"/>
    <n v="179"/>
    <n v="91"/>
    <n v="28.4"/>
    <n v="131"/>
    <n v="85"/>
    <x v="21"/>
    <n v="9.8000000000000007"/>
  </r>
  <r>
    <x v="0"/>
    <x v="0"/>
    <x v="0"/>
    <x v="3"/>
    <n v="36"/>
    <n v="156"/>
    <n v="92"/>
    <n v="37.799999999999997"/>
    <n v="125"/>
    <n v="71"/>
    <x v="27"/>
    <n v="8.1"/>
  </r>
  <r>
    <x v="0"/>
    <x v="4"/>
    <x v="0"/>
    <x v="1"/>
    <n v="55"/>
    <n v="189"/>
    <n v="75"/>
    <n v="21"/>
    <n v="138"/>
    <n v="77"/>
    <x v="3"/>
    <n v="9.3000000000000007"/>
  </r>
  <r>
    <x v="1"/>
    <x v="0"/>
    <x v="2"/>
    <x v="3"/>
    <n v="56"/>
    <n v="161"/>
    <n v="94"/>
    <n v="36.299999999999997"/>
    <n v="139"/>
    <n v="86"/>
    <x v="20"/>
    <n v="9"/>
  </r>
  <r>
    <x v="1"/>
    <x v="1"/>
    <x v="0"/>
    <x v="3"/>
    <n v="46"/>
    <n v="175"/>
    <n v="93"/>
    <n v="30.4"/>
    <n v="121"/>
    <n v="92"/>
    <x v="7"/>
    <n v="9.3000000000000007"/>
  </r>
  <r>
    <x v="1"/>
    <x v="1"/>
    <x v="0"/>
    <x v="1"/>
    <n v="45"/>
    <n v="172"/>
    <n v="75"/>
    <n v="25.4"/>
    <n v="144"/>
    <n v="71"/>
    <x v="17"/>
    <n v="8"/>
  </r>
  <r>
    <x v="0"/>
    <x v="4"/>
    <x v="2"/>
    <x v="1"/>
    <n v="33"/>
    <n v="157"/>
    <n v="64"/>
    <n v="26"/>
    <n v="120"/>
    <n v="79"/>
    <x v="15"/>
    <n v="9.1999999999999993"/>
  </r>
  <r>
    <x v="1"/>
    <x v="3"/>
    <x v="0"/>
    <x v="1"/>
    <n v="39"/>
    <n v="165"/>
    <n v="92"/>
    <n v="33.799999999999997"/>
    <n v="130"/>
    <n v="85"/>
    <x v="17"/>
    <n v="8.6999999999999993"/>
  </r>
  <r>
    <x v="0"/>
    <x v="3"/>
    <x v="0"/>
    <x v="2"/>
    <n v="36"/>
    <n v="178"/>
    <n v="58"/>
    <n v="18.3"/>
    <n v="130"/>
    <n v="75"/>
    <x v="18"/>
    <n v="9.4"/>
  </r>
  <r>
    <x v="0"/>
    <x v="4"/>
    <x v="0"/>
    <x v="1"/>
    <n v="37"/>
    <n v="173"/>
    <n v="99"/>
    <n v="33.1"/>
    <n v="114"/>
    <n v="71"/>
    <x v="25"/>
    <n v="8.3000000000000007"/>
  </r>
  <r>
    <x v="1"/>
    <x v="3"/>
    <x v="0"/>
    <x v="1"/>
    <n v="48"/>
    <n v="158"/>
    <n v="74"/>
    <n v="29.6"/>
    <n v="129"/>
    <n v="71"/>
    <x v="1"/>
    <n v="9.6999999999999993"/>
  </r>
  <r>
    <x v="1"/>
    <x v="3"/>
    <x v="2"/>
    <x v="1"/>
    <n v="29"/>
    <n v="180"/>
    <n v="71"/>
    <n v="21.9"/>
    <n v="146"/>
    <n v="82"/>
    <x v="1"/>
    <n v="7.7"/>
  </r>
  <r>
    <x v="0"/>
    <x v="1"/>
    <x v="0"/>
    <x v="1"/>
    <n v="46"/>
    <n v="186"/>
    <n v="61"/>
    <n v="17.600000000000001"/>
    <n v="112"/>
    <n v="93"/>
    <x v="2"/>
    <n v="9.5"/>
  </r>
  <r>
    <x v="0"/>
    <x v="3"/>
    <x v="0"/>
    <x v="0"/>
    <n v="38"/>
    <n v="187"/>
    <n v="58"/>
    <n v="16.600000000000001"/>
    <n v="142"/>
    <n v="84"/>
    <x v="0"/>
    <n v="9.6999999999999993"/>
  </r>
  <r>
    <x v="1"/>
    <x v="2"/>
    <x v="0"/>
    <x v="2"/>
    <n v="50"/>
    <n v="157"/>
    <n v="83"/>
    <n v="33.700000000000003"/>
    <n v="118"/>
    <n v="71"/>
    <x v="18"/>
    <n v="9.5"/>
  </r>
  <r>
    <x v="1"/>
    <x v="5"/>
    <x v="0"/>
    <x v="3"/>
    <n v="29"/>
    <n v="163"/>
    <n v="68"/>
    <n v="25.6"/>
    <n v="118"/>
    <n v="76"/>
    <x v="18"/>
    <n v="8.8000000000000007"/>
  </r>
  <r>
    <x v="1"/>
    <x v="0"/>
    <x v="0"/>
    <x v="1"/>
    <n v="36"/>
    <n v="162"/>
    <n v="57"/>
    <n v="21.7"/>
    <n v="113"/>
    <n v="72"/>
    <x v="11"/>
    <n v="8.6"/>
  </r>
  <r>
    <x v="0"/>
    <x v="2"/>
    <x v="0"/>
    <x v="0"/>
    <n v="48"/>
    <n v="187"/>
    <n v="78"/>
    <n v="22.3"/>
    <n v="144"/>
    <n v="77"/>
    <x v="9"/>
    <n v="10"/>
  </r>
  <r>
    <x v="0"/>
    <x v="3"/>
    <x v="0"/>
    <x v="0"/>
    <n v="28"/>
    <n v="160"/>
    <n v="91"/>
    <n v="35.5"/>
    <n v="126"/>
    <n v="92"/>
    <x v="4"/>
    <n v="8.1"/>
  </r>
  <r>
    <x v="0"/>
    <x v="1"/>
    <x v="1"/>
    <x v="0"/>
    <n v="24"/>
    <n v="158"/>
    <n v="70"/>
    <n v="28"/>
    <n v="143"/>
    <n v="83"/>
    <x v="26"/>
    <n v="8.9"/>
  </r>
  <r>
    <x v="0"/>
    <x v="4"/>
    <x v="0"/>
    <x v="3"/>
    <n v="50"/>
    <n v="167"/>
    <n v="58"/>
    <n v="20.8"/>
    <n v="133"/>
    <n v="93"/>
    <x v="9"/>
    <n v="9.1999999999999993"/>
  </r>
  <r>
    <x v="0"/>
    <x v="3"/>
    <x v="0"/>
    <x v="1"/>
    <n v="45"/>
    <n v="156"/>
    <n v="78"/>
    <n v="32.1"/>
    <n v="141"/>
    <n v="92"/>
    <x v="29"/>
    <n v="9.3000000000000007"/>
  </r>
  <r>
    <x v="0"/>
    <x v="1"/>
    <x v="0"/>
    <x v="2"/>
    <n v="24"/>
    <n v="159"/>
    <n v="88"/>
    <n v="34.799999999999997"/>
    <n v="110"/>
    <n v="91"/>
    <x v="3"/>
    <n v="8"/>
  </r>
  <r>
    <x v="1"/>
    <x v="5"/>
    <x v="0"/>
    <x v="2"/>
    <n v="41"/>
    <n v="181"/>
    <n v="84"/>
    <n v="25.6"/>
    <n v="117"/>
    <n v="76"/>
    <x v="6"/>
    <n v="9.1"/>
  </r>
  <r>
    <x v="0"/>
    <x v="3"/>
    <x v="0"/>
    <x v="0"/>
    <n v="36"/>
    <n v="186"/>
    <n v="72"/>
    <n v="20.8"/>
    <n v="132"/>
    <n v="90"/>
    <x v="29"/>
    <n v="9.5"/>
  </r>
  <r>
    <x v="0"/>
    <x v="4"/>
    <x v="0"/>
    <x v="3"/>
    <n v="46"/>
    <n v="175"/>
    <n v="73"/>
    <n v="23.8"/>
    <n v="149"/>
    <n v="76"/>
    <x v="10"/>
    <n v="7.6"/>
  </r>
  <r>
    <x v="0"/>
    <x v="1"/>
    <x v="0"/>
    <x v="3"/>
    <n v="51"/>
    <n v="162"/>
    <n v="85"/>
    <n v="32.4"/>
    <n v="121"/>
    <n v="70"/>
    <x v="1"/>
    <n v="9.8000000000000007"/>
  </r>
  <r>
    <x v="1"/>
    <x v="1"/>
    <x v="0"/>
    <x v="3"/>
    <n v="35"/>
    <n v="162"/>
    <n v="73"/>
    <n v="27.8"/>
    <n v="121"/>
    <n v="86"/>
    <x v="5"/>
    <n v="7.6"/>
  </r>
  <r>
    <x v="0"/>
    <x v="1"/>
    <x v="0"/>
    <x v="2"/>
    <n v="28"/>
    <n v="157"/>
    <n v="73"/>
    <n v="29.6"/>
    <n v="124"/>
    <n v="78"/>
    <x v="25"/>
    <n v="8.4"/>
  </r>
  <r>
    <x v="0"/>
    <x v="5"/>
    <x v="2"/>
    <x v="0"/>
    <n v="38"/>
    <n v="157"/>
    <n v="76"/>
    <n v="30.8"/>
    <n v="128"/>
    <n v="90"/>
    <x v="15"/>
    <n v="7.5"/>
  </r>
  <r>
    <x v="1"/>
    <x v="3"/>
    <x v="0"/>
    <x v="1"/>
    <n v="41"/>
    <n v="176"/>
    <n v="78"/>
    <n v="25.2"/>
    <n v="135"/>
    <n v="82"/>
    <x v="23"/>
    <n v="7.7"/>
  </r>
  <r>
    <x v="0"/>
    <x v="5"/>
    <x v="0"/>
    <x v="2"/>
    <n v="57"/>
    <n v="160"/>
    <n v="99"/>
    <n v="38.700000000000003"/>
    <n v="138"/>
    <n v="90"/>
    <x v="13"/>
    <n v="9.8000000000000007"/>
  </r>
  <r>
    <x v="0"/>
    <x v="0"/>
    <x v="0"/>
    <x v="0"/>
    <n v="30"/>
    <n v="156"/>
    <n v="66"/>
    <n v="27.1"/>
    <n v="131"/>
    <n v="88"/>
    <x v="24"/>
    <n v="8.4"/>
  </r>
  <r>
    <x v="0"/>
    <x v="0"/>
    <x v="1"/>
    <x v="0"/>
    <n v="59"/>
    <n v="177"/>
    <n v="84"/>
    <n v="26.8"/>
    <n v="149"/>
    <n v="90"/>
    <x v="14"/>
    <n v="8.6"/>
  </r>
  <r>
    <x v="0"/>
    <x v="3"/>
    <x v="0"/>
    <x v="1"/>
    <n v="43"/>
    <n v="156"/>
    <n v="92"/>
    <n v="37.799999999999997"/>
    <n v="130"/>
    <n v="88"/>
    <x v="17"/>
    <n v="8"/>
  </r>
  <r>
    <x v="0"/>
    <x v="5"/>
    <x v="0"/>
    <x v="1"/>
    <n v="23"/>
    <n v="171"/>
    <n v="85"/>
    <n v="29.1"/>
    <n v="147"/>
    <n v="94"/>
    <x v="14"/>
    <n v="9"/>
  </r>
  <r>
    <x v="1"/>
    <x v="4"/>
    <x v="1"/>
    <x v="1"/>
    <n v="45"/>
    <n v="189"/>
    <n v="90"/>
    <n v="25.2"/>
    <n v="129"/>
    <n v="94"/>
    <x v="20"/>
    <n v="9"/>
  </r>
  <r>
    <x v="1"/>
    <x v="1"/>
    <x v="2"/>
    <x v="3"/>
    <n v="29"/>
    <n v="188"/>
    <n v="73"/>
    <n v="20.7"/>
    <n v="138"/>
    <n v="91"/>
    <x v="8"/>
    <n v="8.4"/>
  </r>
  <r>
    <x v="1"/>
    <x v="1"/>
    <x v="2"/>
    <x v="1"/>
    <n v="32"/>
    <n v="177"/>
    <n v="99"/>
    <n v="31.6"/>
    <n v="113"/>
    <n v="86"/>
    <x v="22"/>
    <n v="8.3000000000000007"/>
  </r>
  <r>
    <x v="0"/>
    <x v="3"/>
    <x v="0"/>
    <x v="0"/>
    <n v="34"/>
    <n v="184"/>
    <n v="90"/>
    <n v="26.6"/>
    <n v="116"/>
    <n v="92"/>
    <x v="26"/>
    <n v="9.6999999999999993"/>
  </r>
  <r>
    <x v="0"/>
    <x v="0"/>
    <x v="0"/>
    <x v="1"/>
    <n v="38"/>
    <n v="162"/>
    <n v="84"/>
    <n v="32"/>
    <n v="137"/>
    <n v="92"/>
    <x v="3"/>
    <n v="8.5"/>
  </r>
  <r>
    <x v="0"/>
    <x v="0"/>
    <x v="0"/>
    <x v="0"/>
    <n v="29"/>
    <n v="176"/>
    <n v="87"/>
    <n v="28.1"/>
    <n v="137"/>
    <n v="79"/>
    <x v="22"/>
    <n v="8.6999999999999993"/>
  </r>
  <r>
    <x v="1"/>
    <x v="1"/>
    <x v="1"/>
    <x v="2"/>
    <n v="42"/>
    <n v="159"/>
    <n v="72"/>
    <n v="28.5"/>
    <n v="113"/>
    <n v="79"/>
    <x v="19"/>
    <n v="8.1999999999999993"/>
  </r>
  <r>
    <x v="0"/>
    <x v="3"/>
    <x v="0"/>
    <x v="3"/>
    <n v="39"/>
    <n v="167"/>
    <n v="82"/>
    <n v="29.4"/>
    <n v="131"/>
    <n v="73"/>
    <x v="19"/>
    <n v="9.5"/>
  </r>
  <r>
    <x v="0"/>
    <x v="5"/>
    <x v="0"/>
    <x v="2"/>
    <n v="51"/>
    <n v="183"/>
    <n v="65"/>
    <n v="19.399999999999999"/>
    <n v="121"/>
    <n v="77"/>
    <x v="26"/>
    <n v="8.5"/>
  </r>
  <r>
    <x v="1"/>
    <x v="0"/>
    <x v="0"/>
    <x v="2"/>
    <n v="39"/>
    <n v="185"/>
    <n v="99"/>
    <n v="28.9"/>
    <n v="112"/>
    <n v="91"/>
    <x v="1"/>
    <n v="8.8000000000000007"/>
  </r>
  <r>
    <x v="0"/>
    <x v="5"/>
    <x v="2"/>
    <x v="0"/>
    <n v="52"/>
    <n v="170"/>
    <n v="87"/>
    <n v="30.1"/>
    <n v="131"/>
    <n v="89"/>
    <x v="2"/>
    <n v="8.1"/>
  </r>
  <r>
    <x v="1"/>
    <x v="0"/>
    <x v="0"/>
    <x v="2"/>
    <n v="59"/>
    <n v="184"/>
    <n v="71"/>
    <n v="21"/>
    <n v="111"/>
    <n v="89"/>
    <x v="13"/>
    <n v="10"/>
  </r>
  <r>
    <x v="1"/>
    <x v="0"/>
    <x v="0"/>
    <x v="0"/>
    <n v="53"/>
    <n v="170"/>
    <n v="60"/>
    <n v="20.8"/>
    <n v="133"/>
    <n v="87"/>
    <x v="26"/>
    <n v="8.1999999999999993"/>
  </r>
  <r>
    <x v="1"/>
    <x v="2"/>
    <x v="0"/>
    <x v="1"/>
    <n v="32"/>
    <n v="166"/>
    <n v="58"/>
    <n v="21"/>
    <n v="143"/>
    <n v="83"/>
    <x v="19"/>
    <n v="9.4"/>
  </r>
  <r>
    <x v="0"/>
    <x v="0"/>
    <x v="0"/>
    <x v="1"/>
    <n v="46"/>
    <n v="171"/>
    <n v="74"/>
    <n v="25.3"/>
    <n v="136"/>
    <n v="87"/>
    <x v="9"/>
    <n v="8.6"/>
  </r>
  <r>
    <x v="0"/>
    <x v="4"/>
    <x v="0"/>
    <x v="0"/>
    <n v="54"/>
    <n v="170"/>
    <n v="81"/>
    <n v="28"/>
    <n v="110"/>
    <n v="83"/>
    <x v="18"/>
    <n v="8"/>
  </r>
  <r>
    <x v="0"/>
    <x v="3"/>
    <x v="0"/>
    <x v="1"/>
    <n v="59"/>
    <n v="166"/>
    <n v="69"/>
    <n v="25"/>
    <n v="117"/>
    <n v="89"/>
    <x v="11"/>
    <n v="9.5"/>
  </r>
  <r>
    <x v="0"/>
    <x v="3"/>
    <x v="0"/>
    <x v="3"/>
    <n v="29"/>
    <n v="162"/>
    <n v="60"/>
    <n v="22.9"/>
    <n v="132"/>
    <n v="90"/>
    <x v="9"/>
    <n v="8.3000000000000007"/>
  </r>
  <r>
    <x v="0"/>
    <x v="5"/>
    <x v="0"/>
    <x v="2"/>
    <n v="32"/>
    <n v="174"/>
    <n v="68"/>
    <n v="22.5"/>
    <n v="147"/>
    <n v="93"/>
    <x v="0"/>
    <n v="9.6999999999999993"/>
  </r>
  <r>
    <x v="0"/>
    <x v="0"/>
    <x v="0"/>
    <x v="3"/>
    <n v="43"/>
    <n v="157"/>
    <n v="65"/>
    <n v="26.4"/>
    <n v="115"/>
    <n v="84"/>
    <x v="15"/>
    <n v="9.8000000000000007"/>
  </r>
  <r>
    <x v="0"/>
    <x v="4"/>
    <x v="0"/>
    <x v="2"/>
    <n v="45"/>
    <n v="170"/>
    <n v="93"/>
    <n v="32.200000000000003"/>
    <n v="131"/>
    <n v="91"/>
    <x v="14"/>
    <n v="9.6"/>
  </r>
  <r>
    <x v="1"/>
    <x v="5"/>
    <x v="0"/>
    <x v="1"/>
    <n v="38"/>
    <n v="184"/>
    <n v="63"/>
    <n v="18.600000000000001"/>
    <n v="134"/>
    <n v="73"/>
    <x v="22"/>
    <n v="7.6"/>
  </r>
  <r>
    <x v="0"/>
    <x v="2"/>
    <x v="0"/>
    <x v="3"/>
    <n v="33"/>
    <n v="177"/>
    <n v="80"/>
    <n v="25.5"/>
    <n v="127"/>
    <n v="82"/>
    <x v="15"/>
    <n v="9.5"/>
  </r>
  <r>
    <x v="1"/>
    <x v="5"/>
    <x v="0"/>
    <x v="1"/>
    <n v="53"/>
    <n v="182"/>
    <n v="70"/>
    <n v="21.1"/>
    <n v="126"/>
    <n v="92"/>
    <x v="12"/>
    <n v="8.5"/>
  </r>
  <r>
    <x v="0"/>
    <x v="5"/>
    <x v="0"/>
    <x v="2"/>
    <n v="36"/>
    <n v="159"/>
    <n v="59"/>
    <n v="23.3"/>
    <n v="121"/>
    <n v="77"/>
    <x v="17"/>
    <n v="9.6999999999999993"/>
  </r>
  <r>
    <x v="0"/>
    <x v="0"/>
    <x v="0"/>
    <x v="0"/>
    <n v="37"/>
    <n v="174"/>
    <n v="64"/>
    <n v="21.1"/>
    <n v="115"/>
    <n v="87"/>
    <x v="16"/>
    <n v="9.1"/>
  </r>
  <r>
    <x v="0"/>
    <x v="2"/>
    <x v="0"/>
    <x v="0"/>
    <n v="43"/>
    <n v="155"/>
    <n v="57"/>
    <n v="23.7"/>
    <n v="135"/>
    <n v="81"/>
    <x v="20"/>
    <n v="9.6"/>
  </r>
  <r>
    <x v="1"/>
    <x v="5"/>
    <x v="1"/>
    <x v="3"/>
    <n v="49"/>
    <n v="184"/>
    <n v="67"/>
    <n v="19.8"/>
    <n v="136"/>
    <n v="92"/>
    <x v="4"/>
    <n v="8.6999999999999993"/>
  </r>
  <r>
    <x v="1"/>
    <x v="4"/>
    <x v="0"/>
    <x v="1"/>
    <n v="41"/>
    <n v="175"/>
    <n v="97"/>
    <n v="31.7"/>
    <n v="117"/>
    <n v="83"/>
    <x v="4"/>
    <n v="8.8000000000000007"/>
  </r>
  <r>
    <x v="1"/>
    <x v="4"/>
    <x v="2"/>
    <x v="1"/>
    <n v="54"/>
    <n v="174"/>
    <n v="84"/>
    <n v="27.7"/>
    <n v="128"/>
    <n v="71"/>
    <x v="26"/>
    <n v="7.9"/>
  </r>
  <r>
    <x v="1"/>
    <x v="3"/>
    <x v="0"/>
    <x v="3"/>
    <n v="31"/>
    <n v="160"/>
    <n v="99"/>
    <n v="38.700000000000003"/>
    <n v="110"/>
    <n v="87"/>
    <x v="3"/>
    <n v="9.5"/>
  </r>
  <r>
    <x v="0"/>
    <x v="2"/>
    <x v="0"/>
    <x v="0"/>
    <n v="53"/>
    <n v="176"/>
    <n v="60"/>
    <n v="19.399999999999999"/>
    <n v="138"/>
    <n v="93"/>
    <x v="8"/>
    <n v="8.5"/>
  </r>
  <r>
    <x v="1"/>
    <x v="2"/>
    <x v="2"/>
    <x v="2"/>
    <n v="54"/>
    <n v="172"/>
    <n v="71"/>
    <n v="24"/>
    <n v="144"/>
    <n v="71"/>
    <x v="14"/>
    <n v="8.8000000000000007"/>
  </r>
  <r>
    <x v="0"/>
    <x v="3"/>
    <x v="0"/>
    <x v="3"/>
    <n v="23"/>
    <n v="162"/>
    <n v="99"/>
    <n v="37.700000000000003"/>
    <n v="149"/>
    <n v="80"/>
    <x v="13"/>
    <n v="9.5"/>
  </r>
  <r>
    <x v="0"/>
    <x v="5"/>
    <x v="0"/>
    <x v="2"/>
    <n v="54"/>
    <n v="186"/>
    <n v="73"/>
    <n v="21.1"/>
    <n v="123"/>
    <n v="78"/>
    <x v="11"/>
    <n v="9"/>
  </r>
  <r>
    <x v="1"/>
    <x v="2"/>
    <x v="0"/>
    <x v="0"/>
    <n v="54"/>
    <n v="187"/>
    <n v="96"/>
    <n v="27.5"/>
    <n v="144"/>
    <n v="81"/>
    <x v="15"/>
    <n v="8"/>
  </r>
  <r>
    <x v="1"/>
    <x v="4"/>
    <x v="0"/>
    <x v="1"/>
    <n v="34"/>
    <n v="170"/>
    <n v="89"/>
    <n v="30.8"/>
    <n v="129"/>
    <n v="86"/>
    <x v="18"/>
    <n v="9"/>
  </r>
  <r>
    <x v="1"/>
    <x v="4"/>
    <x v="1"/>
    <x v="0"/>
    <n v="51"/>
    <n v="166"/>
    <n v="80"/>
    <n v="29"/>
    <n v="122"/>
    <n v="84"/>
    <x v="7"/>
    <n v="8.5"/>
  </r>
  <r>
    <x v="1"/>
    <x v="0"/>
    <x v="2"/>
    <x v="3"/>
    <n v="54"/>
    <n v="188"/>
    <n v="59"/>
    <n v="16.7"/>
    <n v="147"/>
    <n v="94"/>
    <x v="10"/>
    <n v="8.6999999999999993"/>
  </r>
  <r>
    <x v="1"/>
    <x v="2"/>
    <x v="1"/>
    <x v="1"/>
    <n v="34"/>
    <n v="168"/>
    <n v="83"/>
    <n v="29.4"/>
    <n v="117"/>
    <n v="86"/>
    <x v="12"/>
    <n v="7.6"/>
  </r>
  <r>
    <x v="1"/>
    <x v="5"/>
    <x v="0"/>
    <x v="3"/>
    <n v="47"/>
    <n v="187"/>
    <n v="91"/>
    <n v="26"/>
    <n v="129"/>
    <n v="87"/>
    <x v="17"/>
    <n v="8"/>
  </r>
  <r>
    <x v="1"/>
    <x v="3"/>
    <x v="2"/>
    <x v="3"/>
    <n v="43"/>
    <n v="177"/>
    <n v="74"/>
    <n v="23.6"/>
    <n v="142"/>
    <n v="91"/>
    <x v="5"/>
    <n v="8.1999999999999993"/>
  </r>
  <r>
    <x v="1"/>
    <x v="3"/>
    <x v="1"/>
    <x v="0"/>
    <n v="23"/>
    <n v="156"/>
    <n v="75"/>
    <n v="30.8"/>
    <n v="135"/>
    <n v="75"/>
    <x v="25"/>
    <n v="9.3000000000000007"/>
  </r>
  <r>
    <x v="0"/>
    <x v="5"/>
    <x v="0"/>
    <x v="3"/>
    <n v="59"/>
    <n v="175"/>
    <n v="64"/>
    <n v="20.9"/>
    <n v="148"/>
    <n v="86"/>
    <x v="16"/>
    <n v="7.5"/>
  </r>
  <r>
    <x v="1"/>
    <x v="1"/>
    <x v="0"/>
    <x v="0"/>
    <n v="47"/>
    <n v="156"/>
    <n v="59"/>
    <n v="24.2"/>
    <n v="130"/>
    <n v="92"/>
    <x v="23"/>
    <n v="8.5"/>
  </r>
  <r>
    <x v="1"/>
    <x v="0"/>
    <x v="2"/>
    <x v="1"/>
    <n v="36"/>
    <n v="181"/>
    <n v="90"/>
    <n v="27.5"/>
    <n v="118"/>
    <n v="93"/>
    <x v="23"/>
    <n v="9.8000000000000007"/>
  </r>
  <r>
    <x v="0"/>
    <x v="3"/>
    <x v="0"/>
    <x v="0"/>
    <n v="55"/>
    <n v="163"/>
    <n v="60"/>
    <n v="22.6"/>
    <n v="133"/>
    <n v="87"/>
    <x v="2"/>
    <n v="7.8"/>
  </r>
  <r>
    <x v="1"/>
    <x v="2"/>
    <x v="2"/>
    <x v="1"/>
    <n v="32"/>
    <n v="155"/>
    <n v="80"/>
    <n v="33.299999999999997"/>
    <n v="146"/>
    <n v="77"/>
    <x v="29"/>
    <n v="8.8000000000000007"/>
  </r>
  <r>
    <x v="0"/>
    <x v="0"/>
    <x v="0"/>
    <x v="0"/>
    <n v="24"/>
    <n v="165"/>
    <n v="58"/>
    <n v="21.3"/>
    <n v="126"/>
    <n v="78"/>
    <x v="16"/>
    <n v="9.5"/>
  </r>
  <r>
    <x v="0"/>
    <x v="2"/>
    <x v="2"/>
    <x v="2"/>
    <n v="27"/>
    <n v="157"/>
    <n v="93"/>
    <n v="37.700000000000003"/>
    <n v="133"/>
    <n v="75"/>
    <x v="16"/>
    <n v="9.9"/>
  </r>
  <r>
    <x v="1"/>
    <x v="4"/>
    <x v="0"/>
    <x v="2"/>
    <n v="30"/>
    <n v="177"/>
    <n v="93"/>
    <n v="29.7"/>
    <n v="130"/>
    <n v="74"/>
    <x v="25"/>
    <n v="9.4"/>
  </r>
  <r>
    <x v="0"/>
    <x v="0"/>
    <x v="0"/>
    <x v="3"/>
    <n v="27"/>
    <n v="180"/>
    <n v="89"/>
    <n v="27.5"/>
    <n v="148"/>
    <n v="81"/>
    <x v="5"/>
    <n v="9.3000000000000007"/>
  </r>
  <r>
    <x v="0"/>
    <x v="3"/>
    <x v="0"/>
    <x v="0"/>
    <n v="30"/>
    <n v="158"/>
    <n v="55"/>
    <n v="22"/>
    <n v="148"/>
    <n v="94"/>
    <x v="15"/>
    <n v="9.6"/>
  </r>
  <r>
    <x v="0"/>
    <x v="0"/>
    <x v="2"/>
    <x v="0"/>
    <n v="52"/>
    <n v="172"/>
    <n v="78"/>
    <n v="26.4"/>
    <n v="122"/>
    <n v="80"/>
    <x v="21"/>
    <n v="8.6"/>
  </r>
  <r>
    <x v="0"/>
    <x v="0"/>
    <x v="0"/>
    <x v="1"/>
    <n v="53"/>
    <n v="160"/>
    <n v="90"/>
    <n v="35.200000000000003"/>
    <n v="120"/>
    <n v="94"/>
    <x v="28"/>
    <n v="9.5"/>
  </r>
  <r>
    <x v="1"/>
    <x v="0"/>
    <x v="0"/>
    <x v="3"/>
    <n v="33"/>
    <n v="189"/>
    <n v="60"/>
    <n v="16.8"/>
    <n v="128"/>
    <n v="70"/>
    <x v="25"/>
    <n v="7.5"/>
  </r>
  <r>
    <x v="0"/>
    <x v="1"/>
    <x v="0"/>
    <x v="0"/>
    <n v="29"/>
    <n v="176"/>
    <n v="95"/>
    <n v="30.7"/>
    <n v="120"/>
    <n v="80"/>
    <x v="24"/>
    <n v="9.8000000000000007"/>
  </r>
  <r>
    <x v="1"/>
    <x v="0"/>
    <x v="2"/>
    <x v="3"/>
    <n v="29"/>
    <n v="169"/>
    <n v="98"/>
    <n v="34.299999999999997"/>
    <n v="122"/>
    <n v="88"/>
    <x v="4"/>
    <n v="8.6"/>
  </r>
  <r>
    <x v="0"/>
    <x v="2"/>
    <x v="0"/>
    <x v="2"/>
    <n v="49"/>
    <n v="176"/>
    <n v="85"/>
    <n v="27.4"/>
    <n v="110"/>
    <n v="78"/>
    <x v="23"/>
    <n v="8.9"/>
  </r>
  <r>
    <x v="0"/>
    <x v="4"/>
    <x v="2"/>
    <x v="0"/>
    <n v="41"/>
    <n v="166"/>
    <n v="74"/>
    <n v="26.9"/>
    <n v="149"/>
    <n v="71"/>
    <x v="17"/>
    <n v="8.1"/>
  </r>
  <r>
    <x v="0"/>
    <x v="5"/>
    <x v="0"/>
    <x v="0"/>
    <n v="28"/>
    <n v="172"/>
    <n v="78"/>
    <n v="26.4"/>
    <n v="128"/>
    <n v="81"/>
    <x v="23"/>
    <n v="9.4"/>
  </r>
  <r>
    <x v="0"/>
    <x v="0"/>
    <x v="0"/>
    <x v="3"/>
    <n v="32"/>
    <n v="189"/>
    <n v="79"/>
    <n v="22.1"/>
    <n v="121"/>
    <n v="73"/>
    <x v="2"/>
    <n v="7.7"/>
  </r>
  <r>
    <x v="1"/>
    <x v="3"/>
    <x v="0"/>
    <x v="0"/>
    <n v="41"/>
    <n v="184"/>
    <n v="90"/>
    <n v="26.6"/>
    <n v="117"/>
    <n v="73"/>
    <x v="15"/>
    <n v="9.6999999999999993"/>
  </r>
  <r>
    <x v="1"/>
    <x v="0"/>
    <x v="0"/>
    <x v="3"/>
    <n v="37"/>
    <n v="178"/>
    <n v="75"/>
    <n v="23.7"/>
    <n v="117"/>
    <n v="87"/>
    <x v="24"/>
    <n v="9.6"/>
  </r>
  <r>
    <x v="0"/>
    <x v="3"/>
    <x v="2"/>
    <x v="0"/>
    <n v="25"/>
    <n v="184"/>
    <n v="84"/>
    <n v="24.8"/>
    <n v="121"/>
    <n v="84"/>
    <x v="3"/>
    <n v="8"/>
  </r>
  <r>
    <x v="0"/>
    <x v="2"/>
    <x v="0"/>
    <x v="1"/>
    <n v="27"/>
    <n v="168"/>
    <n v="78"/>
    <n v="27.6"/>
    <n v="142"/>
    <n v="88"/>
    <x v="10"/>
    <n v="9.5"/>
  </r>
  <r>
    <x v="1"/>
    <x v="3"/>
    <x v="0"/>
    <x v="3"/>
    <n v="43"/>
    <n v="160"/>
    <n v="98"/>
    <n v="38.299999999999997"/>
    <n v="135"/>
    <n v="82"/>
    <x v="24"/>
    <n v="9.5"/>
  </r>
  <r>
    <x v="0"/>
    <x v="5"/>
    <x v="2"/>
    <x v="0"/>
    <n v="47"/>
    <n v="157"/>
    <n v="96"/>
    <n v="38.9"/>
    <n v="148"/>
    <n v="88"/>
    <x v="10"/>
    <n v="9.1"/>
  </r>
  <r>
    <x v="0"/>
    <x v="4"/>
    <x v="0"/>
    <x v="2"/>
    <n v="24"/>
    <n v="170"/>
    <n v="84"/>
    <n v="29.1"/>
    <n v="137"/>
    <n v="86"/>
    <x v="21"/>
    <n v="8.4"/>
  </r>
  <r>
    <x v="0"/>
    <x v="3"/>
    <x v="0"/>
    <x v="0"/>
    <n v="35"/>
    <n v="161"/>
    <n v="76"/>
    <n v="29.3"/>
    <n v="114"/>
    <n v="75"/>
    <x v="21"/>
    <n v="8.1999999999999993"/>
  </r>
  <r>
    <x v="1"/>
    <x v="3"/>
    <x v="1"/>
    <x v="2"/>
    <n v="32"/>
    <n v="168"/>
    <n v="82"/>
    <n v="29.1"/>
    <n v="117"/>
    <n v="85"/>
    <x v="4"/>
    <n v="8.1"/>
  </r>
  <r>
    <x v="1"/>
    <x v="4"/>
    <x v="0"/>
    <x v="2"/>
    <n v="39"/>
    <n v="163"/>
    <n v="61"/>
    <n v="23"/>
    <n v="134"/>
    <n v="93"/>
    <x v="23"/>
    <n v="8.3000000000000007"/>
  </r>
  <r>
    <x v="1"/>
    <x v="5"/>
    <x v="0"/>
    <x v="1"/>
    <n v="33"/>
    <n v="169"/>
    <n v="89"/>
    <n v="31.2"/>
    <n v="136"/>
    <n v="81"/>
    <x v="23"/>
    <n v="9.8000000000000007"/>
  </r>
  <r>
    <x v="0"/>
    <x v="0"/>
    <x v="1"/>
    <x v="3"/>
    <n v="44"/>
    <n v="175"/>
    <n v="82"/>
    <n v="26.8"/>
    <n v="132"/>
    <n v="88"/>
    <x v="11"/>
    <n v="7.7"/>
  </r>
  <r>
    <x v="0"/>
    <x v="3"/>
    <x v="0"/>
    <x v="0"/>
    <n v="33"/>
    <n v="189"/>
    <n v="68"/>
    <n v="19"/>
    <n v="139"/>
    <n v="74"/>
    <x v="26"/>
    <n v="9.6"/>
  </r>
  <r>
    <x v="1"/>
    <x v="4"/>
    <x v="0"/>
    <x v="1"/>
    <n v="34"/>
    <n v="156"/>
    <n v="64"/>
    <n v="26.3"/>
    <n v="132"/>
    <n v="86"/>
    <x v="15"/>
    <n v="8.4"/>
  </r>
  <r>
    <x v="1"/>
    <x v="2"/>
    <x v="0"/>
    <x v="0"/>
    <n v="46"/>
    <n v="181"/>
    <n v="70"/>
    <n v="21.4"/>
    <n v="129"/>
    <n v="92"/>
    <x v="1"/>
    <n v="8.8000000000000007"/>
  </r>
  <r>
    <x v="1"/>
    <x v="4"/>
    <x v="2"/>
    <x v="2"/>
    <n v="40"/>
    <n v="156"/>
    <n v="70"/>
    <n v="28.8"/>
    <n v="127"/>
    <n v="70"/>
    <x v="8"/>
    <n v="9.5"/>
  </r>
  <r>
    <x v="1"/>
    <x v="2"/>
    <x v="0"/>
    <x v="3"/>
    <n v="57"/>
    <n v="189"/>
    <n v="85"/>
    <n v="23.8"/>
    <n v="127"/>
    <n v="94"/>
    <x v="8"/>
    <n v="9.6999999999999993"/>
  </r>
  <r>
    <x v="0"/>
    <x v="5"/>
    <x v="0"/>
    <x v="0"/>
    <n v="29"/>
    <n v="172"/>
    <n v="96"/>
    <n v="32.4"/>
    <n v="111"/>
    <n v="93"/>
    <x v="22"/>
    <n v="8.4"/>
  </r>
  <r>
    <x v="1"/>
    <x v="0"/>
    <x v="2"/>
    <x v="0"/>
    <n v="50"/>
    <n v="168"/>
    <n v="79"/>
    <n v="28"/>
    <n v="113"/>
    <n v="92"/>
    <x v="21"/>
    <n v="8.6999999999999993"/>
  </r>
  <r>
    <x v="0"/>
    <x v="4"/>
    <x v="2"/>
    <x v="2"/>
    <n v="53"/>
    <n v="174"/>
    <n v="67"/>
    <n v="22.1"/>
    <n v="139"/>
    <n v="79"/>
    <x v="10"/>
    <n v="8.5"/>
  </r>
  <r>
    <x v="1"/>
    <x v="1"/>
    <x v="0"/>
    <x v="0"/>
    <n v="39"/>
    <n v="172"/>
    <n v="60"/>
    <n v="20.3"/>
    <n v="142"/>
    <n v="84"/>
    <x v="25"/>
    <n v="7.5"/>
  </r>
  <r>
    <x v="0"/>
    <x v="3"/>
    <x v="0"/>
    <x v="0"/>
    <n v="27"/>
    <n v="164"/>
    <n v="98"/>
    <n v="36.4"/>
    <n v="145"/>
    <n v="92"/>
    <x v="14"/>
    <n v="8.1999999999999993"/>
  </r>
  <r>
    <x v="1"/>
    <x v="5"/>
    <x v="0"/>
    <x v="2"/>
    <n v="39"/>
    <n v="179"/>
    <n v="63"/>
    <n v="19.7"/>
    <n v="127"/>
    <n v="90"/>
    <x v="18"/>
    <n v="8.6"/>
  </r>
  <r>
    <x v="1"/>
    <x v="4"/>
    <x v="2"/>
    <x v="1"/>
    <n v="40"/>
    <n v="156"/>
    <n v="99"/>
    <n v="40.700000000000003"/>
    <n v="146"/>
    <n v="90"/>
    <x v="13"/>
    <n v="8.5"/>
  </r>
  <r>
    <x v="1"/>
    <x v="3"/>
    <x v="0"/>
    <x v="2"/>
    <n v="43"/>
    <n v="179"/>
    <n v="90"/>
    <n v="28.1"/>
    <n v="128"/>
    <n v="80"/>
    <x v="4"/>
    <n v="9.3000000000000007"/>
  </r>
  <r>
    <x v="1"/>
    <x v="4"/>
    <x v="0"/>
    <x v="1"/>
    <n v="58"/>
    <n v="187"/>
    <n v="97"/>
    <n v="27.7"/>
    <n v="137"/>
    <n v="82"/>
    <x v="8"/>
    <n v="8.5"/>
  </r>
  <r>
    <x v="0"/>
    <x v="2"/>
    <x v="2"/>
    <x v="3"/>
    <n v="53"/>
    <n v="185"/>
    <n v="74"/>
    <n v="21.6"/>
    <n v="149"/>
    <n v="74"/>
    <x v="17"/>
    <n v="8.6999999999999993"/>
  </r>
  <r>
    <x v="1"/>
    <x v="4"/>
    <x v="2"/>
    <x v="1"/>
    <n v="24"/>
    <n v="168"/>
    <n v="72"/>
    <n v="25.5"/>
    <n v="129"/>
    <n v="70"/>
    <x v="3"/>
    <n v="8.6"/>
  </r>
  <r>
    <x v="0"/>
    <x v="1"/>
    <x v="0"/>
    <x v="1"/>
    <n v="49"/>
    <n v="155"/>
    <n v="97"/>
    <n v="40.4"/>
    <n v="142"/>
    <n v="93"/>
    <x v="22"/>
    <n v="9.4"/>
  </r>
  <r>
    <x v="0"/>
    <x v="4"/>
    <x v="2"/>
    <x v="3"/>
    <n v="31"/>
    <n v="170"/>
    <n v="75"/>
    <n v="26"/>
    <n v="121"/>
    <n v="81"/>
    <x v="1"/>
    <n v="9.6999999999999993"/>
  </r>
  <r>
    <x v="0"/>
    <x v="4"/>
    <x v="0"/>
    <x v="1"/>
    <n v="56"/>
    <n v="157"/>
    <n v="58"/>
    <n v="23.5"/>
    <n v="124"/>
    <n v="80"/>
    <x v="13"/>
    <n v="8.8000000000000007"/>
  </r>
  <r>
    <x v="0"/>
    <x v="1"/>
    <x v="2"/>
    <x v="2"/>
    <n v="50"/>
    <n v="189"/>
    <n v="87"/>
    <n v="24.4"/>
    <n v="148"/>
    <n v="86"/>
    <x v="7"/>
    <n v="9.5"/>
  </r>
  <r>
    <x v="1"/>
    <x v="5"/>
    <x v="0"/>
    <x v="1"/>
    <n v="36"/>
    <n v="160"/>
    <n v="81"/>
    <n v="31.6"/>
    <n v="111"/>
    <n v="73"/>
    <x v="2"/>
    <n v="8.1999999999999993"/>
  </r>
  <r>
    <x v="0"/>
    <x v="4"/>
    <x v="0"/>
    <x v="3"/>
    <n v="54"/>
    <n v="179"/>
    <n v="61"/>
    <n v="19"/>
    <n v="138"/>
    <n v="84"/>
    <x v="16"/>
    <n v="8.9"/>
  </r>
  <r>
    <x v="0"/>
    <x v="1"/>
    <x v="2"/>
    <x v="2"/>
    <n v="28"/>
    <n v="167"/>
    <n v="60"/>
    <n v="21.5"/>
    <n v="119"/>
    <n v="94"/>
    <x v="20"/>
    <n v="8.4"/>
  </r>
  <r>
    <x v="0"/>
    <x v="3"/>
    <x v="0"/>
    <x v="3"/>
    <n v="33"/>
    <n v="188"/>
    <n v="69"/>
    <n v="19.5"/>
    <n v="111"/>
    <n v="78"/>
    <x v="21"/>
    <n v="8.5"/>
  </r>
  <r>
    <x v="1"/>
    <x v="2"/>
    <x v="0"/>
    <x v="3"/>
    <n v="51"/>
    <n v="162"/>
    <n v="72"/>
    <n v="27.4"/>
    <n v="120"/>
    <n v="90"/>
    <x v="7"/>
    <n v="9.3000000000000007"/>
  </r>
  <r>
    <x v="1"/>
    <x v="2"/>
    <x v="2"/>
    <x v="0"/>
    <n v="42"/>
    <n v="175"/>
    <n v="86"/>
    <n v="28.1"/>
    <n v="122"/>
    <n v="89"/>
    <x v="7"/>
    <n v="9.6999999999999993"/>
  </r>
  <r>
    <x v="1"/>
    <x v="4"/>
    <x v="2"/>
    <x v="0"/>
    <n v="52"/>
    <n v="188"/>
    <n v="65"/>
    <n v="18.399999999999999"/>
    <n v="119"/>
    <n v="88"/>
    <x v="4"/>
    <n v="7.8"/>
  </r>
  <r>
    <x v="1"/>
    <x v="5"/>
    <x v="0"/>
    <x v="3"/>
    <n v="45"/>
    <n v="158"/>
    <n v="74"/>
    <n v="29.6"/>
    <n v="123"/>
    <n v="88"/>
    <x v="19"/>
    <n v="9.1"/>
  </r>
  <r>
    <x v="0"/>
    <x v="5"/>
    <x v="0"/>
    <x v="3"/>
    <n v="41"/>
    <n v="179"/>
    <n v="78"/>
    <n v="24.3"/>
    <n v="127"/>
    <n v="81"/>
    <x v="5"/>
    <n v="9"/>
  </r>
  <r>
    <x v="0"/>
    <x v="3"/>
    <x v="0"/>
    <x v="3"/>
    <n v="58"/>
    <n v="169"/>
    <n v="69"/>
    <n v="24.2"/>
    <n v="118"/>
    <n v="74"/>
    <x v="6"/>
    <n v="7.8"/>
  </r>
  <r>
    <x v="1"/>
    <x v="4"/>
    <x v="0"/>
    <x v="0"/>
    <n v="25"/>
    <n v="158"/>
    <n v="61"/>
    <n v="24.4"/>
    <n v="148"/>
    <n v="79"/>
    <x v="11"/>
    <n v="8"/>
  </r>
  <r>
    <x v="0"/>
    <x v="2"/>
    <x v="0"/>
    <x v="0"/>
    <n v="49"/>
    <n v="166"/>
    <n v="75"/>
    <n v="27.2"/>
    <n v="137"/>
    <n v="86"/>
    <x v="5"/>
    <n v="8.3000000000000007"/>
  </r>
  <r>
    <x v="0"/>
    <x v="5"/>
    <x v="0"/>
    <x v="1"/>
    <n v="41"/>
    <n v="186"/>
    <n v="96"/>
    <n v="27.7"/>
    <n v="112"/>
    <n v="74"/>
    <x v="21"/>
    <n v="7.9"/>
  </r>
  <r>
    <x v="0"/>
    <x v="4"/>
    <x v="1"/>
    <x v="1"/>
    <n v="45"/>
    <n v="186"/>
    <n v="80"/>
    <n v="23.1"/>
    <n v="129"/>
    <n v="91"/>
    <x v="9"/>
    <n v="8.1"/>
  </r>
  <r>
    <x v="1"/>
    <x v="5"/>
    <x v="0"/>
    <x v="3"/>
    <n v="53"/>
    <n v="182"/>
    <n v="98"/>
    <n v="29.6"/>
    <n v="115"/>
    <n v="85"/>
    <x v="22"/>
    <n v="8.1999999999999993"/>
  </r>
  <r>
    <x v="1"/>
    <x v="1"/>
    <x v="0"/>
    <x v="2"/>
    <n v="57"/>
    <n v="167"/>
    <n v="68"/>
    <n v="24.4"/>
    <n v="136"/>
    <n v="76"/>
    <x v="2"/>
    <n v="8.3000000000000007"/>
  </r>
  <r>
    <x v="0"/>
    <x v="5"/>
    <x v="0"/>
    <x v="2"/>
    <n v="55"/>
    <n v="185"/>
    <n v="91"/>
    <n v="26.6"/>
    <n v="111"/>
    <n v="78"/>
    <x v="28"/>
    <n v="9.4"/>
  </r>
  <r>
    <x v="1"/>
    <x v="2"/>
    <x v="1"/>
    <x v="0"/>
    <n v="57"/>
    <n v="168"/>
    <n v="75"/>
    <n v="26.6"/>
    <n v="138"/>
    <n v="72"/>
    <x v="3"/>
    <n v="8.9"/>
  </r>
  <r>
    <x v="1"/>
    <x v="0"/>
    <x v="0"/>
    <x v="0"/>
    <n v="23"/>
    <n v="174"/>
    <n v="72"/>
    <n v="23.8"/>
    <n v="147"/>
    <n v="84"/>
    <x v="11"/>
    <n v="10"/>
  </r>
  <r>
    <x v="1"/>
    <x v="3"/>
    <x v="0"/>
    <x v="0"/>
    <n v="36"/>
    <n v="172"/>
    <n v="59"/>
    <n v="19.899999999999999"/>
    <n v="112"/>
    <n v="85"/>
    <x v="26"/>
    <n v="8.5"/>
  </r>
  <r>
    <x v="1"/>
    <x v="3"/>
    <x v="0"/>
    <x v="3"/>
    <n v="55"/>
    <n v="183"/>
    <n v="57"/>
    <n v="17"/>
    <n v="125"/>
    <n v="87"/>
    <x v="23"/>
    <n v="9.4"/>
  </r>
  <r>
    <x v="1"/>
    <x v="2"/>
    <x v="0"/>
    <x v="2"/>
    <n v="57"/>
    <n v="160"/>
    <n v="77"/>
    <n v="30.1"/>
    <n v="139"/>
    <n v="83"/>
    <x v="6"/>
    <n v="9.6999999999999993"/>
  </r>
  <r>
    <x v="0"/>
    <x v="5"/>
    <x v="0"/>
    <x v="1"/>
    <n v="27"/>
    <n v="186"/>
    <n v="80"/>
    <n v="23.1"/>
    <n v="149"/>
    <n v="72"/>
    <x v="24"/>
    <n v="9.1999999999999993"/>
  </r>
  <r>
    <x v="1"/>
    <x v="4"/>
    <x v="2"/>
    <x v="3"/>
    <n v="33"/>
    <n v="183"/>
    <n v="91"/>
    <n v="27.2"/>
    <n v="111"/>
    <n v="81"/>
    <x v="23"/>
    <n v="8.5"/>
  </r>
  <r>
    <x v="0"/>
    <x v="5"/>
    <x v="1"/>
    <x v="1"/>
    <n v="24"/>
    <n v="156"/>
    <n v="78"/>
    <n v="32.1"/>
    <n v="126"/>
    <n v="78"/>
    <x v="4"/>
    <n v="9.4"/>
  </r>
  <r>
    <x v="0"/>
    <x v="2"/>
    <x v="0"/>
    <x v="1"/>
    <n v="39"/>
    <n v="177"/>
    <n v="73"/>
    <n v="23.3"/>
    <n v="121"/>
    <n v="76"/>
    <x v="17"/>
    <n v="8"/>
  </r>
  <r>
    <x v="1"/>
    <x v="3"/>
    <x v="0"/>
    <x v="3"/>
    <n v="42"/>
    <n v="173"/>
    <n v="79"/>
    <n v="26.4"/>
    <n v="144"/>
    <n v="78"/>
    <x v="9"/>
    <n v="8.3000000000000007"/>
  </r>
  <r>
    <x v="0"/>
    <x v="5"/>
    <x v="1"/>
    <x v="1"/>
    <n v="36"/>
    <n v="185"/>
    <n v="75"/>
    <n v="21.9"/>
    <n v="110"/>
    <n v="82"/>
    <x v="8"/>
    <n v="8.9"/>
  </r>
  <r>
    <x v="0"/>
    <x v="3"/>
    <x v="2"/>
    <x v="2"/>
    <n v="54"/>
    <n v="159"/>
    <n v="66"/>
    <n v="26.1"/>
    <n v="124"/>
    <n v="87"/>
    <x v="0"/>
    <n v="8.9"/>
  </r>
  <r>
    <x v="0"/>
    <x v="4"/>
    <x v="0"/>
    <x v="1"/>
    <n v="56"/>
    <n v="173"/>
    <n v="95"/>
    <n v="31.7"/>
    <n v="135"/>
    <n v="74"/>
    <x v="7"/>
    <n v="7.6"/>
  </r>
  <r>
    <x v="1"/>
    <x v="3"/>
    <x v="0"/>
    <x v="2"/>
    <n v="47"/>
    <n v="188"/>
    <n v="87"/>
    <n v="24.6"/>
    <n v="146"/>
    <n v="82"/>
    <x v="0"/>
    <n v="9.9"/>
  </r>
  <r>
    <x v="1"/>
    <x v="3"/>
    <x v="0"/>
    <x v="2"/>
    <n v="29"/>
    <n v="164"/>
    <n v="58"/>
    <n v="21.6"/>
    <n v="130"/>
    <n v="73"/>
    <x v="5"/>
    <n v="9.1999999999999993"/>
  </r>
  <r>
    <x v="0"/>
    <x v="0"/>
    <x v="0"/>
    <x v="2"/>
    <n v="57"/>
    <n v="179"/>
    <n v="96"/>
    <n v="30"/>
    <n v="140"/>
    <n v="71"/>
    <x v="28"/>
    <n v="8.6999999999999993"/>
  </r>
  <r>
    <x v="1"/>
    <x v="0"/>
    <x v="2"/>
    <x v="0"/>
    <n v="51"/>
    <n v="156"/>
    <n v="61"/>
    <n v="25.1"/>
    <n v="134"/>
    <n v="85"/>
    <x v="19"/>
    <n v="9.8000000000000007"/>
  </r>
  <r>
    <x v="1"/>
    <x v="1"/>
    <x v="1"/>
    <x v="1"/>
    <n v="44"/>
    <n v="165"/>
    <n v="76"/>
    <n v="27.9"/>
    <n v="132"/>
    <n v="78"/>
    <x v="28"/>
    <n v="8.6"/>
  </r>
  <r>
    <x v="1"/>
    <x v="0"/>
    <x v="1"/>
    <x v="3"/>
    <n v="35"/>
    <n v="185"/>
    <n v="87"/>
    <n v="25.4"/>
    <n v="133"/>
    <n v="78"/>
    <x v="12"/>
    <n v="10"/>
  </r>
  <r>
    <x v="1"/>
    <x v="3"/>
    <x v="0"/>
    <x v="3"/>
    <n v="35"/>
    <n v="169"/>
    <n v="71"/>
    <n v="24.9"/>
    <n v="147"/>
    <n v="75"/>
    <x v="15"/>
    <n v="8.8000000000000007"/>
  </r>
  <r>
    <x v="0"/>
    <x v="2"/>
    <x v="0"/>
    <x v="1"/>
    <n v="23"/>
    <n v="163"/>
    <n v="78"/>
    <n v="29.4"/>
    <n v="137"/>
    <n v="80"/>
    <x v="3"/>
    <n v="7.8"/>
  </r>
  <r>
    <x v="0"/>
    <x v="3"/>
    <x v="1"/>
    <x v="0"/>
    <n v="58"/>
    <n v="177"/>
    <n v="88"/>
    <n v="28.1"/>
    <n v="130"/>
    <n v="91"/>
    <x v="21"/>
    <n v="9.4"/>
  </r>
  <r>
    <x v="1"/>
    <x v="2"/>
    <x v="2"/>
    <x v="0"/>
    <n v="26"/>
    <n v="173"/>
    <n v="82"/>
    <n v="27.4"/>
    <n v="127"/>
    <n v="93"/>
    <x v="6"/>
    <n v="9.1999999999999993"/>
  </r>
  <r>
    <x v="1"/>
    <x v="2"/>
    <x v="0"/>
    <x v="2"/>
    <n v="59"/>
    <n v="163"/>
    <n v="97"/>
    <n v="36.5"/>
    <n v="145"/>
    <n v="91"/>
    <x v="16"/>
    <n v="9.4"/>
  </r>
  <r>
    <x v="0"/>
    <x v="0"/>
    <x v="1"/>
    <x v="1"/>
    <n v="35"/>
    <n v="189"/>
    <n v="95"/>
    <n v="26.6"/>
    <n v="144"/>
    <n v="70"/>
    <x v="22"/>
    <n v="9.9"/>
  </r>
  <r>
    <x v="0"/>
    <x v="5"/>
    <x v="2"/>
    <x v="1"/>
    <n v="46"/>
    <n v="175"/>
    <n v="93"/>
    <n v="30.4"/>
    <n v="118"/>
    <n v="73"/>
    <x v="10"/>
    <n v="9.4"/>
  </r>
  <r>
    <x v="1"/>
    <x v="4"/>
    <x v="0"/>
    <x v="3"/>
    <n v="41"/>
    <n v="163"/>
    <n v="76"/>
    <n v="28.6"/>
    <n v="147"/>
    <n v="82"/>
    <x v="16"/>
    <n v="9"/>
  </r>
  <r>
    <x v="0"/>
    <x v="0"/>
    <x v="0"/>
    <x v="1"/>
    <n v="23"/>
    <n v="182"/>
    <n v="71"/>
    <n v="21.4"/>
    <n v="139"/>
    <n v="92"/>
    <x v="6"/>
    <n v="9.6"/>
  </r>
  <r>
    <x v="1"/>
    <x v="0"/>
    <x v="0"/>
    <x v="0"/>
    <n v="27"/>
    <n v="161"/>
    <n v="88"/>
    <n v="33.9"/>
    <n v="143"/>
    <n v="82"/>
    <x v="13"/>
    <n v="9.1999999999999993"/>
  </r>
  <r>
    <x v="1"/>
    <x v="5"/>
    <x v="0"/>
    <x v="1"/>
    <n v="38"/>
    <n v="170"/>
    <n v="60"/>
    <n v="20.8"/>
    <n v="141"/>
    <n v="82"/>
    <x v="15"/>
    <n v="8.5"/>
  </r>
  <r>
    <x v="0"/>
    <x v="4"/>
    <x v="0"/>
    <x v="3"/>
    <n v="46"/>
    <n v="170"/>
    <n v="60"/>
    <n v="20.8"/>
    <n v="112"/>
    <n v="71"/>
    <x v="9"/>
    <n v="9.6999999999999993"/>
  </r>
  <r>
    <x v="0"/>
    <x v="3"/>
    <x v="2"/>
    <x v="2"/>
    <n v="49"/>
    <n v="187"/>
    <n v="88"/>
    <n v="25.2"/>
    <n v="112"/>
    <n v="78"/>
    <x v="17"/>
    <n v="8.1"/>
  </r>
  <r>
    <x v="1"/>
    <x v="1"/>
    <x v="0"/>
    <x v="3"/>
    <n v="23"/>
    <n v="158"/>
    <n v="55"/>
    <n v="22"/>
    <n v="137"/>
    <n v="93"/>
    <x v="3"/>
    <n v="9.3000000000000007"/>
  </r>
  <r>
    <x v="1"/>
    <x v="1"/>
    <x v="0"/>
    <x v="3"/>
    <n v="56"/>
    <n v="158"/>
    <n v="64"/>
    <n v="25.6"/>
    <n v="124"/>
    <n v="77"/>
    <x v="18"/>
    <n v="9.6999999999999993"/>
  </r>
  <r>
    <x v="0"/>
    <x v="3"/>
    <x v="0"/>
    <x v="2"/>
    <n v="58"/>
    <n v="171"/>
    <n v="75"/>
    <n v="25.6"/>
    <n v="132"/>
    <n v="76"/>
    <x v="17"/>
    <n v="9.3000000000000007"/>
  </r>
  <r>
    <x v="1"/>
    <x v="0"/>
    <x v="0"/>
    <x v="3"/>
    <n v="26"/>
    <n v="183"/>
    <n v="59"/>
    <n v="17.600000000000001"/>
    <n v="149"/>
    <n v="73"/>
    <x v="13"/>
    <n v="9.1999999999999993"/>
  </r>
  <r>
    <x v="0"/>
    <x v="4"/>
    <x v="1"/>
    <x v="3"/>
    <n v="22"/>
    <n v="189"/>
    <n v="56"/>
    <n v="15.7"/>
    <n v="120"/>
    <n v="87"/>
    <x v="13"/>
    <n v="9.4"/>
  </r>
  <r>
    <x v="1"/>
    <x v="0"/>
    <x v="0"/>
    <x v="1"/>
    <n v="33"/>
    <n v="161"/>
    <n v="76"/>
    <n v="29.3"/>
    <n v="141"/>
    <n v="72"/>
    <x v="26"/>
    <n v="8.6999999999999993"/>
  </r>
  <r>
    <x v="0"/>
    <x v="2"/>
    <x v="0"/>
    <x v="1"/>
    <n v="57"/>
    <n v="181"/>
    <n v="56"/>
    <n v="17.100000000000001"/>
    <n v="145"/>
    <n v="75"/>
    <x v="3"/>
    <n v="9.6999999999999993"/>
  </r>
  <r>
    <x v="0"/>
    <x v="0"/>
    <x v="2"/>
    <x v="2"/>
    <n v="44"/>
    <n v="182"/>
    <n v="64"/>
    <n v="19.3"/>
    <n v="142"/>
    <n v="81"/>
    <x v="16"/>
    <n v="8"/>
  </r>
  <r>
    <x v="0"/>
    <x v="0"/>
    <x v="0"/>
    <x v="1"/>
    <n v="52"/>
    <n v="176"/>
    <n v="88"/>
    <n v="28.4"/>
    <n v="133"/>
    <n v="81"/>
    <x v="18"/>
    <n v="7.8"/>
  </r>
  <r>
    <x v="1"/>
    <x v="3"/>
    <x v="0"/>
    <x v="1"/>
    <n v="32"/>
    <n v="168"/>
    <n v="70"/>
    <n v="24.8"/>
    <n v="148"/>
    <n v="90"/>
    <x v="12"/>
    <n v="8.1999999999999993"/>
  </r>
  <r>
    <x v="1"/>
    <x v="3"/>
    <x v="0"/>
    <x v="3"/>
    <n v="31"/>
    <n v="161"/>
    <n v="93"/>
    <n v="35.9"/>
    <n v="143"/>
    <n v="77"/>
    <x v="25"/>
    <n v="8.8000000000000007"/>
  </r>
  <r>
    <x v="0"/>
    <x v="3"/>
    <x v="0"/>
    <x v="0"/>
    <n v="24"/>
    <n v="176"/>
    <n v="76"/>
    <n v="24.5"/>
    <n v="137"/>
    <n v="91"/>
    <x v="11"/>
    <n v="8.8000000000000007"/>
  </r>
  <r>
    <x v="1"/>
    <x v="1"/>
    <x v="0"/>
    <x v="1"/>
    <n v="35"/>
    <n v="159"/>
    <n v="66"/>
    <n v="26.1"/>
    <n v="146"/>
    <n v="91"/>
    <x v="2"/>
    <n v="9.6"/>
  </r>
  <r>
    <x v="0"/>
    <x v="2"/>
    <x v="0"/>
    <x v="0"/>
    <n v="37"/>
    <n v="156"/>
    <n v="78"/>
    <n v="32.1"/>
    <n v="116"/>
    <n v="70"/>
    <x v="13"/>
    <n v="8.5"/>
  </r>
  <r>
    <x v="0"/>
    <x v="3"/>
    <x v="0"/>
    <x v="1"/>
    <n v="31"/>
    <n v="181"/>
    <n v="94"/>
    <n v="28.7"/>
    <n v="113"/>
    <n v="73"/>
    <x v="23"/>
    <n v="8.6999999999999993"/>
  </r>
  <r>
    <x v="1"/>
    <x v="4"/>
    <x v="1"/>
    <x v="1"/>
    <n v="50"/>
    <n v="175"/>
    <n v="92"/>
    <n v="30"/>
    <n v="146"/>
    <n v="90"/>
    <x v="11"/>
    <n v="7.5"/>
  </r>
  <r>
    <x v="1"/>
    <x v="1"/>
    <x v="0"/>
    <x v="2"/>
    <n v="31"/>
    <n v="169"/>
    <n v="64"/>
    <n v="22.4"/>
    <n v="110"/>
    <n v="80"/>
    <x v="4"/>
    <n v="8.5"/>
  </r>
  <r>
    <x v="0"/>
    <x v="5"/>
    <x v="0"/>
    <x v="2"/>
    <n v="33"/>
    <n v="175"/>
    <n v="89"/>
    <n v="29.1"/>
    <n v="110"/>
    <n v="72"/>
    <x v="22"/>
    <n v="9.1"/>
  </r>
  <r>
    <x v="1"/>
    <x v="4"/>
    <x v="0"/>
    <x v="2"/>
    <n v="51"/>
    <n v="164"/>
    <n v="86"/>
    <n v="32"/>
    <n v="129"/>
    <n v="82"/>
    <x v="29"/>
    <n v="7.5"/>
  </r>
  <r>
    <x v="1"/>
    <x v="4"/>
    <x v="0"/>
    <x v="0"/>
    <n v="22"/>
    <n v="177"/>
    <n v="61"/>
    <n v="19.5"/>
    <n v="128"/>
    <n v="94"/>
    <x v="2"/>
    <n v="8.1999999999999993"/>
  </r>
  <r>
    <x v="0"/>
    <x v="3"/>
    <x v="0"/>
    <x v="3"/>
    <n v="26"/>
    <n v="159"/>
    <n v="75"/>
    <n v="29.7"/>
    <n v="138"/>
    <n v="86"/>
    <x v="29"/>
    <n v="8"/>
  </r>
  <r>
    <x v="0"/>
    <x v="5"/>
    <x v="0"/>
    <x v="1"/>
    <n v="41"/>
    <n v="155"/>
    <n v="74"/>
    <n v="30.8"/>
    <n v="119"/>
    <n v="91"/>
    <x v="8"/>
    <n v="7.6"/>
  </r>
  <r>
    <x v="1"/>
    <x v="5"/>
    <x v="1"/>
    <x v="1"/>
    <n v="29"/>
    <n v="167"/>
    <n v="80"/>
    <n v="28.7"/>
    <n v="127"/>
    <n v="91"/>
    <x v="12"/>
    <n v="8.6999999999999993"/>
  </r>
  <r>
    <x v="0"/>
    <x v="1"/>
    <x v="0"/>
    <x v="1"/>
    <n v="33"/>
    <n v="175"/>
    <n v="58"/>
    <n v="18.899999999999999"/>
    <n v="137"/>
    <n v="79"/>
    <x v="17"/>
    <n v="8"/>
  </r>
  <r>
    <x v="0"/>
    <x v="5"/>
    <x v="0"/>
    <x v="0"/>
    <n v="22"/>
    <n v="180"/>
    <n v="76"/>
    <n v="23.5"/>
    <n v="144"/>
    <n v="90"/>
    <x v="12"/>
    <n v="9.4"/>
  </r>
  <r>
    <x v="1"/>
    <x v="2"/>
    <x v="0"/>
    <x v="2"/>
    <n v="41"/>
    <n v="175"/>
    <n v="69"/>
    <n v="22.5"/>
    <n v="140"/>
    <n v="81"/>
    <x v="19"/>
    <n v="9.6"/>
  </r>
  <r>
    <x v="0"/>
    <x v="3"/>
    <x v="1"/>
    <x v="3"/>
    <n v="49"/>
    <n v="172"/>
    <n v="94"/>
    <n v="31.8"/>
    <n v="136"/>
    <n v="84"/>
    <x v="14"/>
    <n v="8.9"/>
  </r>
  <r>
    <x v="0"/>
    <x v="5"/>
    <x v="0"/>
    <x v="0"/>
    <n v="58"/>
    <n v="186"/>
    <n v="75"/>
    <n v="21.7"/>
    <n v="120"/>
    <n v="90"/>
    <x v="27"/>
    <n v="10"/>
  </r>
  <r>
    <x v="1"/>
    <x v="1"/>
    <x v="0"/>
    <x v="2"/>
    <n v="58"/>
    <n v="171"/>
    <n v="69"/>
    <n v="23.6"/>
    <n v="147"/>
    <n v="79"/>
    <x v="22"/>
    <n v="8.6"/>
  </r>
  <r>
    <x v="1"/>
    <x v="2"/>
    <x v="0"/>
    <x v="0"/>
    <n v="33"/>
    <n v="189"/>
    <n v="76"/>
    <n v="21.3"/>
    <n v="114"/>
    <n v="83"/>
    <x v="12"/>
    <n v="8.8000000000000007"/>
  </r>
  <r>
    <x v="0"/>
    <x v="0"/>
    <x v="2"/>
    <x v="3"/>
    <n v="58"/>
    <n v="165"/>
    <n v="82"/>
    <n v="30.1"/>
    <n v="117"/>
    <n v="82"/>
    <x v="26"/>
    <n v="10"/>
  </r>
  <r>
    <x v="0"/>
    <x v="0"/>
    <x v="0"/>
    <x v="2"/>
    <n v="49"/>
    <n v="175"/>
    <n v="68"/>
    <n v="22.2"/>
    <n v="143"/>
    <n v="74"/>
    <x v="9"/>
    <n v="8.1"/>
  </r>
  <r>
    <x v="1"/>
    <x v="2"/>
    <x v="2"/>
    <x v="0"/>
    <n v="36"/>
    <n v="180"/>
    <n v="81"/>
    <n v="25"/>
    <n v="121"/>
    <n v="75"/>
    <x v="5"/>
    <n v="9.9"/>
  </r>
  <r>
    <x v="1"/>
    <x v="1"/>
    <x v="0"/>
    <x v="3"/>
    <n v="27"/>
    <n v="158"/>
    <n v="95"/>
    <n v="38.1"/>
    <n v="147"/>
    <n v="93"/>
    <x v="5"/>
    <n v="7.6"/>
  </r>
  <r>
    <x v="1"/>
    <x v="2"/>
    <x v="0"/>
    <x v="1"/>
    <n v="41"/>
    <n v="188"/>
    <n v="94"/>
    <n v="26.6"/>
    <n v="110"/>
    <n v="71"/>
    <x v="27"/>
    <n v="8.6"/>
  </r>
  <r>
    <x v="1"/>
    <x v="3"/>
    <x v="0"/>
    <x v="3"/>
    <n v="35"/>
    <n v="172"/>
    <n v="82"/>
    <n v="27.7"/>
    <n v="140"/>
    <n v="91"/>
    <x v="2"/>
    <n v="7.7"/>
  </r>
  <r>
    <x v="0"/>
    <x v="3"/>
    <x v="0"/>
    <x v="1"/>
    <n v="23"/>
    <n v="189"/>
    <n v="80"/>
    <n v="22.4"/>
    <n v="113"/>
    <n v="86"/>
    <x v="17"/>
    <n v="9.3000000000000007"/>
  </r>
  <r>
    <x v="1"/>
    <x v="0"/>
    <x v="0"/>
    <x v="0"/>
    <n v="30"/>
    <n v="183"/>
    <n v="56"/>
    <n v="16.7"/>
    <n v="114"/>
    <n v="73"/>
    <x v="23"/>
    <n v="9"/>
  </r>
  <r>
    <x v="1"/>
    <x v="5"/>
    <x v="0"/>
    <x v="2"/>
    <n v="58"/>
    <n v="183"/>
    <n v="79"/>
    <n v="23.6"/>
    <n v="139"/>
    <n v="83"/>
    <x v="16"/>
    <n v="9.3000000000000007"/>
  </r>
  <r>
    <x v="0"/>
    <x v="1"/>
    <x v="2"/>
    <x v="2"/>
    <n v="41"/>
    <n v="175"/>
    <n v="57"/>
    <n v="18.600000000000001"/>
    <n v="133"/>
    <n v="79"/>
    <x v="7"/>
    <n v="8.4"/>
  </r>
  <r>
    <x v="1"/>
    <x v="0"/>
    <x v="0"/>
    <x v="0"/>
    <n v="47"/>
    <n v="167"/>
    <n v="62"/>
    <n v="22.2"/>
    <n v="112"/>
    <n v="72"/>
    <x v="14"/>
    <n v="8.4"/>
  </r>
  <r>
    <x v="0"/>
    <x v="5"/>
    <x v="0"/>
    <x v="2"/>
    <n v="50"/>
    <n v="171"/>
    <n v="98"/>
    <n v="33.5"/>
    <n v="120"/>
    <n v="94"/>
    <x v="6"/>
    <n v="7.6"/>
  </r>
  <r>
    <x v="1"/>
    <x v="5"/>
    <x v="0"/>
    <x v="2"/>
    <n v="22"/>
    <n v="163"/>
    <n v="87"/>
    <n v="32.700000000000003"/>
    <n v="113"/>
    <n v="72"/>
    <x v="3"/>
    <n v="8.4"/>
  </r>
  <r>
    <x v="1"/>
    <x v="3"/>
    <x v="0"/>
    <x v="1"/>
    <n v="56"/>
    <n v="155"/>
    <n v="96"/>
    <n v="40"/>
    <n v="135"/>
    <n v="84"/>
    <x v="19"/>
    <n v="9.8000000000000007"/>
  </r>
  <r>
    <x v="1"/>
    <x v="4"/>
    <x v="0"/>
    <x v="0"/>
    <n v="27"/>
    <n v="156"/>
    <n v="89"/>
    <n v="36.6"/>
    <n v="136"/>
    <n v="75"/>
    <x v="20"/>
    <n v="8.4"/>
  </r>
  <r>
    <x v="0"/>
    <x v="4"/>
    <x v="0"/>
    <x v="3"/>
    <n v="58"/>
    <n v="183"/>
    <n v="60"/>
    <n v="17.899999999999999"/>
    <n v="136"/>
    <n v="86"/>
    <x v="27"/>
    <n v="9.6"/>
  </r>
  <r>
    <x v="0"/>
    <x v="2"/>
    <x v="0"/>
    <x v="1"/>
    <n v="26"/>
    <n v="187"/>
    <n v="93"/>
    <n v="26.6"/>
    <n v="115"/>
    <n v="81"/>
    <x v="7"/>
    <n v="9.6"/>
  </r>
  <r>
    <x v="1"/>
    <x v="3"/>
    <x v="2"/>
    <x v="0"/>
    <n v="54"/>
    <n v="164"/>
    <n v="77"/>
    <n v="28.6"/>
    <n v="124"/>
    <n v="91"/>
    <x v="3"/>
    <n v="8.4"/>
  </r>
  <r>
    <x v="0"/>
    <x v="5"/>
    <x v="1"/>
    <x v="1"/>
    <n v="35"/>
    <n v="175"/>
    <n v="79"/>
    <n v="25.8"/>
    <n v="139"/>
    <n v="89"/>
    <x v="6"/>
    <n v="9.1"/>
  </r>
  <r>
    <x v="0"/>
    <x v="1"/>
    <x v="0"/>
    <x v="3"/>
    <n v="33"/>
    <n v="182"/>
    <n v="97"/>
    <n v="29.3"/>
    <n v="146"/>
    <n v="93"/>
    <x v="8"/>
    <n v="7.7"/>
  </r>
  <r>
    <x v="0"/>
    <x v="4"/>
    <x v="0"/>
    <x v="3"/>
    <n v="41"/>
    <n v="165"/>
    <n v="73"/>
    <n v="26.8"/>
    <n v="146"/>
    <n v="80"/>
    <x v="22"/>
    <n v="7.8"/>
  </r>
  <r>
    <x v="0"/>
    <x v="5"/>
    <x v="0"/>
    <x v="0"/>
    <n v="45"/>
    <n v="188"/>
    <n v="59"/>
    <n v="16.7"/>
    <n v="146"/>
    <n v="94"/>
    <x v="4"/>
    <n v="7.6"/>
  </r>
  <r>
    <x v="0"/>
    <x v="4"/>
    <x v="0"/>
    <x v="3"/>
    <n v="55"/>
    <n v="162"/>
    <n v="65"/>
    <n v="24.8"/>
    <n v="144"/>
    <n v="73"/>
    <x v="11"/>
    <n v="9"/>
  </r>
  <r>
    <x v="0"/>
    <x v="4"/>
    <x v="0"/>
    <x v="1"/>
    <n v="46"/>
    <n v="176"/>
    <n v="66"/>
    <n v="21.3"/>
    <n v="132"/>
    <n v="75"/>
    <x v="21"/>
    <n v="8.6"/>
  </r>
  <r>
    <x v="1"/>
    <x v="4"/>
    <x v="0"/>
    <x v="3"/>
    <n v="50"/>
    <n v="162"/>
    <n v="64"/>
    <n v="24.4"/>
    <n v="115"/>
    <n v="70"/>
    <x v="24"/>
    <n v="8.9"/>
  </r>
  <r>
    <x v="1"/>
    <x v="1"/>
    <x v="2"/>
    <x v="1"/>
    <n v="52"/>
    <n v="169"/>
    <n v="62"/>
    <n v="21.7"/>
    <n v="113"/>
    <n v="89"/>
    <x v="29"/>
    <n v="8.8000000000000007"/>
  </r>
  <r>
    <x v="0"/>
    <x v="3"/>
    <x v="0"/>
    <x v="1"/>
    <n v="44"/>
    <n v="171"/>
    <n v="78"/>
    <n v="26.7"/>
    <n v="127"/>
    <n v="92"/>
    <x v="29"/>
    <n v="8.4"/>
  </r>
  <r>
    <x v="1"/>
    <x v="1"/>
    <x v="0"/>
    <x v="3"/>
    <n v="59"/>
    <n v="177"/>
    <n v="82"/>
    <n v="26.2"/>
    <n v="118"/>
    <n v="85"/>
    <x v="22"/>
    <n v="9.1999999999999993"/>
  </r>
  <r>
    <x v="1"/>
    <x v="0"/>
    <x v="0"/>
    <x v="0"/>
    <n v="41"/>
    <n v="178"/>
    <n v="95"/>
    <n v="30"/>
    <n v="138"/>
    <n v="84"/>
    <x v="12"/>
    <n v="9.4"/>
  </r>
  <r>
    <x v="1"/>
    <x v="5"/>
    <x v="0"/>
    <x v="2"/>
    <n v="44"/>
    <n v="173"/>
    <n v="90"/>
    <n v="30.1"/>
    <n v="122"/>
    <n v="86"/>
    <x v="0"/>
    <n v="7.5"/>
  </r>
  <r>
    <x v="1"/>
    <x v="3"/>
    <x v="0"/>
    <x v="3"/>
    <n v="37"/>
    <n v="159"/>
    <n v="91"/>
    <n v="36"/>
    <n v="126"/>
    <n v="77"/>
    <x v="15"/>
    <n v="8"/>
  </r>
  <r>
    <x v="0"/>
    <x v="3"/>
    <x v="0"/>
    <x v="1"/>
    <n v="29"/>
    <n v="186"/>
    <n v="75"/>
    <n v="21.7"/>
    <n v="141"/>
    <n v="81"/>
    <x v="7"/>
    <n v="9.3000000000000007"/>
  </r>
  <r>
    <x v="1"/>
    <x v="3"/>
    <x v="0"/>
    <x v="1"/>
    <n v="42"/>
    <n v="155"/>
    <n v="62"/>
    <n v="25.8"/>
    <n v="131"/>
    <n v="91"/>
    <x v="28"/>
    <n v="8.5"/>
  </r>
  <r>
    <x v="1"/>
    <x v="3"/>
    <x v="2"/>
    <x v="3"/>
    <n v="22"/>
    <n v="177"/>
    <n v="63"/>
    <n v="20.100000000000001"/>
    <n v="113"/>
    <n v="90"/>
    <x v="12"/>
    <n v="9.1999999999999993"/>
  </r>
  <r>
    <x v="0"/>
    <x v="1"/>
    <x v="0"/>
    <x v="0"/>
    <n v="29"/>
    <n v="162"/>
    <n v="69"/>
    <n v="26.3"/>
    <n v="114"/>
    <n v="79"/>
    <x v="29"/>
    <n v="8.4"/>
  </r>
  <r>
    <x v="0"/>
    <x v="3"/>
    <x v="0"/>
    <x v="0"/>
    <n v="50"/>
    <n v="167"/>
    <n v="94"/>
    <n v="33.700000000000003"/>
    <n v="146"/>
    <n v="84"/>
    <x v="0"/>
    <n v="8.5"/>
  </r>
  <r>
    <x v="1"/>
    <x v="2"/>
    <x v="0"/>
    <x v="1"/>
    <n v="53"/>
    <n v="162"/>
    <n v="72"/>
    <n v="27.4"/>
    <n v="122"/>
    <n v="78"/>
    <x v="15"/>
    <n v="7.9"/>
  </r>
  <r>
    <x v="1"/>
    <x v="5"/>
    <x v="0"/>
    <x v="1"/>
    <n v="59"/>
    <n v="177"/>
    <n v="96"/>
    <n v="30.6"/>
    <n v="143"/>
    <n v="71"/>
    <x v="6"/>
    <n v="8.1"/>
  </r>
  <r>
    <x v="1"/>
    <x v="3"/>
    <x v="0"/>
    <x v="0"/>
    <n v="26"/>
    <n v="155"/>
    <n v="74"/>
    <n v="30.8"/>
    <n v="131"/>
    <n v="74"/>
    <x v="14"/>
    <n v="9"/>
  </r>
  <r>
    <x v="1"/>
    <x v="5"/>
    <x v="2"/>
    <x v="2"/>
    <n v="43"/>
    <n v="178"/>
    <n v="60"/>
    <n v="18.899999999999999"/>
    <n v="132"/>
    <n v="75"/>
    <x v="3"/>
    <n v="8.6"/>
  </r>
  <r>
    <x v="1"/>
    <x v="2"/>
    <x v="2"/>
    <x v="3"/>
    <n v="55"/>
    <n v="189"/>
    <n v="66"/>
    <n v="18.5"/>
    <n v="112"/>
    <n v="76"/>
    <x v="5"/>
    <n v="9.4"/>
  </r>
  <r>
    <x v="1"/>
    <x v="2"/>
    <x v="2"/>
    <x v="1"/>
    <n v="22"/>
    <n v="178"/>
    <n v="56"/>
    <n v="17.7"/>
    <n v="143"/>
    <n v="90"/>
    <x v="0"/>
    <n v="9.6"/>
  </r>
  <r>
    <x v="0"/>
    <x v="5"/>
    <x v="0"/>
    <x v="1"/>
    <n v="47"/>
    <n v="171"/>
    <n v="61"/>
    <n v="20.9"/>
    <n v="141"/>
    <n v="94"/>
    <x v="13"/>
    <n v="8.9"/>
  </r>
  <r>
    <x v="1"/>
    <x v="4"/>
    <x v="0"/>
    <x v="0"/>
    <n v="31"/>
    <n v="159"/>
    <n v="70"/>
    <n v="27.7"/>
    <n v="130"/>
    <n v="70"/>
    <x v="14"/>
    <n v="9.4"/>
  </r>
  <r>
    <x v="1"/>
    <x v="0"/>
    <x v="0"/>
    <x v="3"/>
    <n v="51"/>
    <n v="174"/>
    <n v="57"/>
    <n v="18.8"/>
    <n v="130"/>
    <n v="92"/>
    <x v="2"/>
    <n v="8.3000000000000007"/>
  </r>
  <r>
    <x v="0"/>
    <x v="4"/>
    <x v="0"/>
    <x v="0"/>
    <n v="39"/>
    <n v="175"/>
    <n v="99"/>
    <n v="32.299999999999997"/>
    <n v="120"/>
    <n v="76"/>
    <x v="14"/>
    <n v="8.5"/>
  </r>
  <r>
    <x v="0"/>
    <x v="4"/>
    <x v="2"/>
    <x v="3"/>
    <n v="38"/>
    <n v="185"/>
    <n v="57"/>
    <n v="16.7"/>
    <n v="148"/>
    <n v="89"/>
    <x v="2"/>
    <n v="9.3000000000000007"/>
  </r>
  <r>
    <x v="0"/>
    <x v="1"/>
    <x v="0"/>
    <x v="3"/>
    <n v="47"/>
    <n v="165"/>
    <n v="81"/>
    <n v="29.8"/>
    <n v="113"/>
    <n v="94"/>
    <x v="9"/>
    <n v="8.5"/>
  </r>
  <r>
    <x v="0"/>
    <x v="4"/>
    <x v="0"/>
    <x v="3"/>
    <n v="29"/>
    <n v="169"/>
    <n v="97"/>
    <n v="34"/>
    <n v="110"/>
    <n v="81"/>
    <x v="25"/>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A1:B6" firstHeaderRow="1" firstDataRow="1" firstDataCol="1"/>
  <pivotFields count="12">
    <pivotField showAll="0"/>
    <pivotField showAll="0"/>
    <pivotField showAll="0">
      <items count="4">
        <item x="0"/>
        <item x="2"/>
        <item x="1"/>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items count="31">
        <item x="10"/>
        <item x="18"/>
        <item x="16"/>
        <item x="3"/>
        <item x="22"/>
        <item x="27"/>
        <item x="5"/>
        <item x="9"/>
        <item x="8"/>
        <item x="26"/>
        <item x="1"/>
        <item x="20"/>
        <item x="4"/>
        <item x="28"/>
        <item x="6"/>
        <item x="0"/>
        <item x="25"/>
        <item x="24"/>
        <item x="7"/>
        <item x="23"/>
        <item x="2"/>
        <item x="14"/>
        <item x="11"/>
        <item x="13"/>
        <item x="12"/>
        <item x="21"/>
        <item x="15"/>
        <item x="19"/>
        <item x="17"/>
        <item x="29"/>
        <item t="default"/>
      </items>
    </pivotField>
    <pivotField showAll="0"/>
  </pivotFields>
  <rowFields count="1">
    <field x="3"/>
  </rowFields>
  <rowItems count="5">
    <i>
      <x v="3"/>
    </i>
    <i>
      <x v="1"/>
    </i>
    <i>
      <x/>
    </i>
    <i>
      <x v="2"/>
    </i>
    <i t="grand">
      <x/>
    </i>
  </rowItems>
  <colItems count="1">
    <i/>
  </colItems>
  <dataFields count="1">
    <dataField name="Average of Heart_Rate" fld="10" subtotal="average" baseField="3" baseItem="2"/>
  </dataFields>
  <chartFormats count="3">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A1:B41" firstHeaderRow="1" firstDataRow="1" firstDataCol="1"/>
  <pivotFields count="12">
    <pivotField axis="axisRow" dataField="1" showAll="0">
      <items count="3">
        <item x="1"/>
        <item x="0"/>
        <item t="default"/>
      </items>
    </pivotField>
    <pivotField showAll="0"/>
    <pivotField axis="axisRow" showAll="0">
      <items count="4">
        <item x="0"/>
        <item x="2"/>
        <item x="1"/>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s>
  <rowFields count="3">
    <field x="3"/>
    <field x="2"/>
    <field x="0"/>
  </rowFields>
  <rowItems count="40">
    <i>
      <x/>
    </i>
    <i r="1">
      <x/>
    </i>
    <i r="2">
      <x/>
    </i>
    <i r="2">
      <x v="1"/>
    </i>
    <i r="1">
      <x v="1"/>
    </i>
    <i r="2">
      <x/>
    </i>
    <i r="2">
      <x v="1"/>
    </i>
    <i r="1">
      <x v="2"/>
    </i>
    <i r="2">
      <x/>
    </i>
    <i r="2">
      <x v="1"/>
    </i>
    <i>
      <x v="1"/>
    </i>
    <i r="1">
      <x/>
    </i>
    <i r="2">
      <x/>
    </i>
    <i r="2">
      <x v="1"/>
    </i>
    <i r="1">
      <x v="1"/>
    </i>
    <i r="2">
      <x/>
    </i>
    <i r="2">
      <x v="1"/>
    </i>
    <i r="1">
      <x v="2"/>
    </i>
    <i r="2">
      <x/>
    </i>
    <i r="2">
      <x v="1"/>
    </i>
    <i>
      <x v="2"/>
    </i>
    <i r="1">
      <x/>
    </i>
    <i r="2">
      <x/>
    </i>
    <i r="2">
      <x v="1"/>
    </i>
    <i r="1">
      <x v="1"/>
    </i>
    <i r="2">
      <x/>
    </i>
    <i r="2">
      <x v="1"/>
    </i>
    <i r="1">
      <x v="2"/>
    </i>
    <i r="2">
      <x/>
    </i>
    <i>
      <x v="3"/>
    </i>
    <i r="1">
      <x/>
    </i>
    <i r="2">
      <x/>
    </i>
    <i r="2">
      <x v="1"/>
    </i>
    <i r="1">
      <x v="1"/>
    </i>
    <i r="2">
      <x/>
    </i>
    <i r="2">
      <x v="1"/>
    </i>
    <i r="1">
      <x v="2"/>
    </i>
    <i r="2">
      <x/>
    </i>
    <i r="2">
      <x v="1"/>
    </i>
    <i t="grand">
      <x/>
    </i>
  </rowItems>
  <colItems count="1">
    <i/>
  </colItems>
  <dataFields count="1">
    <dataField name="Count of Gender" fld="0" subtotal="count" baseField="0" baseItem="0"/>
  </dataFields>
  <chartFormats count="3">
    <chartFormat chart="1" format="3"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4">
  <location ref="A1:B20" firstHeaderRow="1" firstDataRow="1" firstDataCol="1"/>
  <pivotFields count="12">
    <pivotField axis="axisRow" dataField="1" showAll="0">
      <items count="3">
        <item x="1"/>
        <item x="0"/>
        <item t="default"/>
      </items>
    </pivotField>
    <pivotField axis="axisRow"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s>
  <rowFields count="2">
    <field x="1"/>
    <field x="0"/>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Count of Gender" fld="0" subtotal="count" baseField="0" baseItem="0"/>
  </dataFields>
  <chartFormats count="5">
    <chartFormat chart="8" format="42" series="1">
      <pivotArea type="data" outline="0" fieldPosition="0">
        <references count="1">
          <reference field="4294967294" count="1" selected="0">
            <x v="0"/>
          </reference>
        </references>
      </pivotArea>
    </chartFormat>
    <chartFormat chart="37" format="44" series="1">
      <pivotArea type="data" outline="0" fieldPosition="0">
        <references count="1">
          <reference field="4294967294" count="1" selected="0">
            <x v="0"/>
          </reference>
        </references>
      </pivotArea>
    </chartFormat>
    <chartFormat chart="40" format="43" series="1">
      <pivotArea type="data" outline="0" fieldPosition="0">
        <references count="1">
          <reference field="4294967294" count="1" selected="0">
            <x v="0"/>
          </reference>
        </references>
      </pivotArea>
    </chartFormat>
    <chartFormat chart="41" format="44" series="1">
      <pivotArea type="data" outline="0" fieldPosition="0">
        <references count="1">
          <reference field="4294967294" count="1" selected="0">
            <x v="0"/>
          </reference>
        </references>
      </pivotArea>
    </chartFormat>
    <chartFormat chart="43" format="4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4">
  <location ref="A1:D6" firstHeaderRow="1" firstDataRow="2" firstDataCol="1"/>
  <pivotFields count="12">
    <pivotField axis="axisCol" showAll="0">
      <items count="3">
        <item x="1"/>
        <item x="0"/>
        <item t="default"/>
      </items>
    </pivotField>
    <pivotField showAll="0"/>
    <pivotField axis="axisRow" dataField="1"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0"/>
  </colFields>
  <colItems count="3">
    <i>
      <x/>
    </i>
    <i>
      <x v="1"/>
    </i>
    <i t="grand">
      <x/>
    </i>
  </colItems>
  <dataFields count="1">
    <dataField name="Count of Fitness_Status" fld="2" subtotal="count" baseField="0" baseItem="0"/>
  </dataFields>
  <chartFormats count="6">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31" format="4" series="1">
      <pivotArea type="data" outline="0" fieldPosition="0">
        <references count="2">
          <reference field="4294967294" count="1" selected="0">
            <x v="0"/>
          </reference>
          <reference field="0" count="1" selected="0">
            <x v="0"/>
          </reference>
        </references>
      </pivotArea>
    </chartFormat>
    <chartFormat chart="31" format="5" series="1">
      <pivotArea type="data" outline="0" fieldPosition="0">
        <references count="2">
          <reference field="4294967294" count="1" selected="0">
            <x v="0"/>
          </reference>
          <reference field="0" count="1" selected="0">
            <x v="1"/>
          </reference>
        </references>
      </pivotArea>
    </chartFormat>
    <chartFormat chart="33" format="8" series="1">
      <pivotArea type="data" outline="0" fieldPosition="0">
        <references count="2">
          <reference field="4294967294" count="1" selected="0">
            <x v="0"/>
          </reference>
          <reference field="0" count="1" selected="0">
            <x v="0"/>
          </reference>
        </references>
      </pivotArea>
    </chartFormat>
    <chartFormat chart="33"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3">
  <location ref="A1:D7" firstHeaderRow="1" firstDataRow="2" firstDataCol="1"/>
  <pivotFields count="12">
    <pivotField axis="axisCol"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0"/>
  </colFields>
  <colItems count="3">
    <i>
      <x/>
    </i>
    <i>
      <x v="1"/>
    </i>
    <i t="grand">
      <x/>
    </i>
  </colItems>
  <dataFields count="1">
    <dataField name="Average of Age" fld="4" subtotal="average" baseField="3" baseItem="0"/>
  </dataFields>
  <chartFormats count="6">
    <chartFormat chart="23" format="5" series="1">
      <pivotArea type="data" outline="0" fieldPosition="0">
        <references count="2">
          <reference field="4294967294" count="1" selected="0">
            <x v="0"/>
          </reference>
          <reference field="0" count="1" selected="0">
            <x v="1"/>
          </reference>
        </references>
      </pivotArea>
    </chartFormat>
    <chartFormat chart="23" format="6" series="1">
      <pivotArea type="data" outline="0" fieldPosition="0">
        <references count="2">
          <reference field="4294967294" count="1" selected="0">
            <x v="0"/>
          </reference>
          <reference field="0" count="1" selected="0">
            <x v="0"/>
          </reference>
        </references>
      </pivotArea>
    </chartFormat>
    <chartFormat chart="58" format="9" series="1">
      <pivotArea type="data" outline="0" fieldPosition="0">
        <references count="2">
          <reference field="4294967294" count="1" selected="0">
            <x v="0"/>
          </reference>
          <reference field="0" count="1" selected="0">
            <x v="0"/>
          </reference>
        </references>
      </pivotArea>
    </chartFormat>
    <chartFormat chart="58" format="10" series="1">
      <pivotArea type="data" outline="0" fieldPosition="0">
        <references count="2">
          <reference field="4294967294" count="1" selected="0">
            <x v="0"/>
          </reference>
          <reference field="0" count="1" selected="0">
            <x v="1"/>
          </reference>
        </references>
      </pivotArea>
    </chartFormat>
    <chartFormat chart="62" format="13" series="1">
      <pivotArea type="data" outline="0" fieldPosition="0">
        <references count="2">
          <reference field="4294967294" count="1" selected="0">
            <x v="0"/>
          </reference>
          <reference field="0" count="1" selected="0">
            <x v="0"/>
          </reference>
        </references>
      </pivotArea>
    </chartFormat>
    <chartFormat chart="62" format="1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_Role" sourceName="Job_Role">
  <pivotTables>
    <pivotTable tabId="11" name="PivotTable6"/>
    <pivotTable tabId="3" name="PivotTable6"/>
    <pivotTable tabId="5" name="PivotTable6"/>
    <pivotTable tabId="7" name="PivotTable6"/>
    <pivotTable tabId="9" name="PivotTable6"/>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itness_Status" sourceName="Fitness_Status">
  <pivotTables>
    <pivotTable tabId="5" name="PivotTable6"/>
    <pivotTable tabId="3" name="PivotTable6"/>
    <pivotTable tabId="7" name="PivotTable6"/>
    <pivotTable tabId="9" name="PivotTable6"/>
    <pivotTable tabId="11"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_Role" cache="Slicer_Job_Role" caption="Job_Role" columnCount="2" style="SlicerStyleOther2" rowHeight="241300"/>
  <slicer name="Fitness_Status" cache="Slicer_Fitness_Status" caption="Fitness_Statu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Job_Role 1" cache="Slicer_Job_Role" caption="Job_Role" columnCount="2" style="SlicerStyleOther2" rowHeight="241300"/>
  <slicer name="Fitness_Status 1" cache="Slicer_Fitness_Status" caption="Fitness_Status" rowHeight="241300"/>
</slicers>
</file>

<file path=xl/tables/table1.xml><?xml version="1.0" encoding="utf-8"?>
<table xmlns="http://schemas.openxmlformats.org/spreadsheetml/2006/main" id="1" name="Table1" displayName="Table1" ref="A1:L418" totalsRowShown="0" headerRowDxfId="0">
  <tableColumns count="12">
    <tableColumn id="1" name="Gender"/>
    <tableColumn id="2" name="Blood_Type"/>
    <tableColumn id="3" name="Fitness_Status"/>
    <tableColumn id="4" name="Job_Role"/>
    <tableColumn id="5" name="Age"/>
    <tableColumn id="6" name="Height_cm"/>
    <tableColumn id="7" name="Weight_kg"/>
    <tableColumn id="8" name="BMI"/>
    <tableColumn id="9" name="Blood_Pressure_Systolic"/>
    <tableColumn id="10" name="Blood_Pressure_Diastolic"/>
    <tableColumn id="11" name="Heart_Rate"/>
    <tableColumn id="12" name="Vision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8"/>
  <sheetViews>
    <sheetView workbookViewId="0">
      <selection activeCell="N2" sqref="N2"/>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v>38</v>
      </c>
      <c r="F2">
        <v>166</v>
      </c>
      <c r="G2">
        <v>73</v>
      </c>
      <c r="H2">
        <v>26.5</v>
      </c>
      <c r="I2">
        <v>149</v>
      </c>
      <c r="J2">
        <v>93</v>
      </c>
      <c r="K2">
        <v>75</v>
      </c>
      <c r="L2">
        <v>8.5</v>
      </c>
    </row>
    <row r="3" spans="1:12" x14ac:dyDescent="0.35">
      <c r="A3" t="s">
        <v>16</v>
      </c>
      <c r="B3" t="s">
        <v>17</v>
      </c>
      <c r="C3" t="s">
        <v>14</v>
      </c>
      <c r="D3" t="s">
        <v>18</v>
      </c>
      <c r="E3">
        <v>45</v>
      </c>
      <c r="F3">
        <v>181</v>
      </c>
      <c r="G3">
        <v>61</v>
      </c>
      <c r="H3">
        <v>18.600000000000001</v>
      </c>
      <c r="I3">
        <v>147</v>
      </c>
      <c r="J3">
        <v>72</v>
      </c>
      <c r="K3">
        <v>75</v>
      </c>
      <c r="L3">
        <v>8.5</v>
      </c>
    </row>
    <row r="4" spans="1:12" x14ac:dyDescent="0.35">
      <c r="A4" t="s">
        <v>12</v>
      </c>
      <c r="B4" t="s">
        <v>13</v>
      </c>
      <c r="C4" t="s">
        <v>19</v>
      </c>
      <c r="D4" t="s">
        <v>15</v>
      </c>
      <c r="E4">
        <v>24</v>
      </c>
      <c r="F4">
        <v>162</v>
      </c>
      <c r="G4">
        <v>82</v>
      </c>
      <c r="H4">
        <v>31.2</v>
      </c>
      <c r="I4">
        <v>142</v>
      </c>
      <c r="J4">
        <v>82</v>
      </c>
      <c r="K4">
        <v>70</v>
      </c>
      <c r="L4">
        <v>9.4</v>
      </c>
    </row>
    <row r="5" spans="1:12" x14ac:dyDescent="0.35">
      <c r="A5" t="s">
        <v>12</v>
      </c>
      <c r="B5" t="s">
        <v>13</v>
      </c>
      <c r="C5" t="s">
        <v>14</v>
      </c>
      <c r="D5" t="s">
        <v>20</v>
      </c>
      <c r="E5">
        <v>53</v>
      </c>
      <c r="F5">
        <v>179</v>
      </c>
      <c r="G5">
        <v>97</v>
      </c>
      <c r="H5">
        <v>30.3</v>
      </c>
      <c r="I5">
        <v>137</v>
      </c>
      <c r="J5">
        <v>84</v>
      </c>
      <c r="K5">
        <v>80</v>
      </c>
      <c r="L5">
        <v>7.6</v>
      </c>
    </row>
    <row r="6" spans="1:12" x14ac:dyDescent="0.35">
      <c r="A6" t="s">
        <v>12</v>
      </c>
      <c r="B6" t="s">
        <v>17</v>
      </c>
      <c r="C6" t="s">
        <v>14</v>
      </c>
      <c r="D6" t="s">
        <v>18</v>
      </c>
      <c r="E6">
        <v>56</v>
      </c>
      <c r="F6">
        <v>158</v>
      </c>
      <c r="G6">
        <v>59</v>
      </c>
      <c r="H6">
        <v>23.6</v>
      </c>
      <c r="I6">
        <v>110</v>
      </c>
      <c r="J6">
        <v>71</v>
      </c>
      <c r="K6">
        <v>63</v>
      </c>
      <c r="L6">
        <v>8.1999999999999993</v>
      </c>
    </row>
    <row r="7" spans="1:12" x14ac:dyDescent="0.35">
      <c r="A7" t="s">
        <v>16</v>
      </c>
      <c r="B7" t="s">
        <v>21</v>
      </c>
      <c r="C7" t="s">
        <v>19</v>
      </c>
      <c r="D7" t="s">
        <v>15</v>
      </c>
      <c r="E7">
        <v>59</v>
      </c>
      <c r="F7">
        <v>187</v>
      </c>
      <c r="G7">
        <v>59</v>
      </c>
      <c r="H7">
        <v>16.899999999999999</v>
      </c>
      <c r="I7">
        <v>117</v>
      </c>
      <c r="J7">
        <v>80</v>
      </c>
      <c r="K7">
        <v>72</v>
      </c>
      <c r="L7">
        <v>8.8000000000000007</v>
      </c>
    </row>
    <row r="8" spans="1:12" x14ac:dyDescent="0.35">
      <c r="A8" t="s">
        <v>12</v>
      </c>
      <c r="B8" t="s">
        <v>22</v>
      </c>
      <c r="C8" t="s">
        <v>23</v>
      </c>
      <c r="D8" t="s">
        <v>20</v>
      </c>
      <c r="E8">
        <v>34</v>
      </c>
      <c r="F8">
        <v>155</v>
      </c>
      <c r="G8">
        <v>84</v>
      </c>
      <c r="H8">
        <v>35</v>
      </c>
      <c r="I8">
        <v>146</v>
      </c>
      <c r="J8">
        <v>73</v>
      </c>
      <c r="K8">
        <v>66</v>
      </c>
      <c r="L8">
        <v>8.1999999999999993</v>
      </c>
    </row>
    <row r="9" spans="1:12" x14ac:dyDescent="0.35">
      <c r="A9" t="s">
        <v>12</v>
      </c>
      <c r="B9" t="s">
        <v>24</v>
      </c>
      <c r="C9" t="s">
        <v>14</v>
      </c>
      <c r="D9" t="s">
        <v>18</v>
      </c>
      <c r="E9">
        <v>46</v>
      </c>
      <c r="F9">
        <v>173</v>
      </c>
      <c r="G9">
        <v>86</v>
      </c>
      <c r="H9">
        <v>28.7</v>
      </c>
      <c r="I9">
        <v>141</v>
      </c>
      <c r="J9">
        <v>88</v>
      </c>
      <c r="K9">
        <v>63</v>
      </c>
      <c r="L9">
        <v>9.1</v>
      </c>
    </row>
    <row r="10" spans="1:12" x14ac:dyDescent="0.35">
      <c r="A10" t="s">
        <v>12</v>
      </c>
      <c r="B10" t="s">
        <v>25</v>
      </c>
      <c r="C10" t="s">
        <v>14</v>
      </c>
      <c r="D10" t="s">
        <v>20</v>
      </c>
      <c r="E10">
        <v>30</v>
      </c>
      <c r="F10">
        <v>185</v>
      </c>
      <c r="G10">
        <v>62</v>
      </c>
      <c r="H10">
        <v>18.100000000000001</v>
      </c>
      <c r="I10">
        <v>146</v>
      </c>
      <c r="J10">
        <v>86</v>
      </c>
      <c r="K10">
        <v>74</v>
      </c>
      <c r="L10">
        <v>8.6999999999999993</v>
      </c>
    </row>
    <row r="11" spans="1:12" x14ac:dyDescent="0.35">
      <c r="A11" t="s">
        <v>16</v>
      </c>
      <c r="B11" t="s">
        <v>24</v>
      </c>
      <c r="C11" t="s">
        <v>14</v>
      </c>
      <c r="D11" t="s">
        <v>26</v>
      </c>
      <c r="E11">
        <v>25</v>
      </c>
      <c r="F11">
        <v>170</v>
      </c>
      <c r="G11">
        <v>64</v>
      </c>
      <c r="H11">
        <v>22.1</v>
      </c>
      <c r="I11">
        <v>113</v>
      </c>
      <c r="J11">
        <v>72</v>
      </c>
      <c r="K11">
        <v>78</v>
      </c>
      <c r="L11">
        <v>8.4</v>
      </c>
    </row>
    <row r="12" spans="1:12" x14ac:dyDescent="0.35">
      <c r="A12" t="s">
        <v>12</v>
      </c>
      <c r="B12" t="s">
        <v>25</v>
      </c>
      <c r="C12" t="s">
        <v>14</v>
      </c>
      <c r="D12" t="s">
        <v>26</v>
      </c>
      <c r="E12">
        <v>35</v>
      </c>
      <c r="F12">
        <v>168</v>
      </c>
      <c r="G12">
        <v>92</v>
      </c>
      <c r="H12">
        <v>32.6</v>
      </c>
      <c r="I12">
        <v>139</v>
      </c>
      <c r="J12">
        <v>87</v>
      </c>
      <c r="K12">
        <v>68</v>
      </c>
      <c r="L12">
        <v>9.9</v>
      </c>
    </row>
    <row r="13" spans="1:12" x14ac:dyDescent="0.35">
      <c r="A13" t="s">
        <v>12</v>
      </c>
      <c r="B13" t="s">
        <v>24</v>
      </c>
      <c r="C13" t="s">
        <v>14</v>
      </c>
      <c r="D13" t="s">
        <v>18</v>
      </c>
      <c r="E13">
        <v>58</v>
      </c>
      <c r="F13">
        <v>159</v>
      </c>
      <c r="G13">
        <v>86</v>
      </c>
      <c r="H13">
        <v>34</v>
      </c>
      <c r="I13">
        <v>115</v>
      </c>
      <c r="J13">
        <v>77</v>
      </c>
      <c r="K13">
        <v>70</v>
      </c>
      <c r="L13">
        <v>9.1</v>
      </c>
    </row>
    <row r="14" spans="1:12" x14ac:dyDescent="0.35">
      <c r="A14" t="s">
        <v>12</v>
      </c>
      <c r="B14" t="s">
        <v>17</v>
      </c>
      <c r="C14" t="s">
        <v>14</v>
      </c>
      <c r="D14" t="s">
        <v>15</v>
      </c>
      <c r="E14">
        <v>55</v>
      </c>
      <c r="F14">
        <v>180</v>
      </c>
      <c r="G14">
        <v>82</v>
      </c>
      <c r="H14">
        <v>25.3</v>
      </c>
      <c r="I14">
        <v>128</v>
      </c>
      <c r="J14">
        <v>91</v>
      </c>
      <c r="K14">
        <v>67</v>
      </c>
      <c r="L14">
        <v>7.8</v>
      </c>
    </row>
    <row r="15" spans="1:12" x14ac:dyDescent="0.35">
      <c r="A15" t="s">
        <v>12</v>
      </c>
      <c r="B15" t="s">
        <v>22</v>
      </c>
      <c r="C15" t="s">
        <v>14</v>
      </c>
      <c r="D15" t="s">
        <v>18</v>
      </c>
      <c r="E15">
        <v>32</v>
      </c>
      <c r="F15">
        <v>182</v>
      </c>
      <c r="G15">
        <v>71</v>
      </c>
      <c r="H15">
        <v>21.4</v>
      </c>
      <c r="I15">
        <v>141</v>
      </c>
      <c r="J15">
        <v>94</v>
      </c>
      <c r="K15">
        <v>60</v>
      </c>
      <c r="L15">
        <v>8.9</v>
      </c>
    </row>
    <row r="16" spans="1:12" x14ac:dyDescent="0.35">
      <c r="A16" t="s">
        <v>16</v>
      </c>
      <c r="B16" t="s">
        <v>25</v>
      </c>
      <c r="C16" t="s">
        <v>14</v>
      </c>
      <c r="D16" t="s">
        <v>20</v>
      </c>
      <c r="E16">
        <v>24</v>
      </c>
      <c r="F16">
        <v>156</v>
      </c>
      <c r="G16">
        <v>85</v>
      </c>
      <c r="H16">
        <v>34.9</v>
      </c>
      <c r="I16">
        <v>118</v>
      </c>
      <c r="J16">
        <v>93</v>
      </c>
      <c r="K16">
        <v>82</v>
      </c>
      <c r="L16">
        <v>9.5</v>
      </c>
    </row>
    <row r="17" spans="1:12" x14ac:dyDescent="0.35">
      <c r="A17" t="s">
        <v>12</v>
      </c>
      <c r="B17" t="s">
        <v>21</v>
      </c>
      <c r="C17" t="s">
        <v>19</v>
      </c>
      <c r="D17" t="s">
        <v>15</v>
      </c>
      <c r="E17">
        <v>49</v>
      </c>
      <c r="F17">
        <v>160</v>
      </c>
      <c r="G17">
        <v>62</v>
      </c>
      <c r="H17">
        <v>24.2</v>
      </c>
      <c r="I17">
        <v>121</v>
      </c>
      <c r="J17">
        <v>88</v>
      </c>
      <c r="K17">
        <v>84</v>
      </c>
      <c r="L17">
        <v>9.3000000000000007</v>
      </c>
    </row>
    <row r="18" spans="1:12" x14ac:dyDescent="0.35">
      <c r="A18" t="s">
        <v>16</v>
      </c>
      <c r="B18" t="s">
        <v>24</v>
      </c>
      <c r="C18" t="s">
        <v>19</v>
      </c>
      <c r="D18" t="s">
        <v>26</v>
      </c>
      <c r="E18">
        <v>50</v>
      </c>
      <c r="F18">
        <v>163</v>
      </c>
      <c r="G18">
        <v>94</v>
      </c>
      <c r="H18">
        <v>35.4</v>
      </c>
      <c r="I18">
        <v>120</v>
      </c>
      <c r="J18">
        <v>74</v>
      </c>
      <c r="K18">
        <v>83</v>
      </c>
      <c r="L18">
        <v>7.9</v>
      </c>
    </row>
    <row r="19" spans="1:12" x14ac:dyDescent="0.35">
      <c r="A19" t="s">
        <v>16</v>
      </c>
      <c r="B19" t="s">
        <v>24</v>
      </c>
      <c r="C19" t="s">
        <v>14</v>
      </c>
      <c r="D19" t="s">
        <v>15</v>
      </c>
      <c r="E19">
        <v>30</v>
      </c>
      <c r="F19">
        <v>187</v>
      </c>
      <c r="G19">
        <v>79</v>
      </c>
      <c r="H19">
        <v>22.6</v>
      </c>
      <c r="I19">
        <v>125</v>
      </c>
      <c r="J19">
        <v>76</v>
      </c>
      <c r="K19">
        <v>67</v>
      </c>
      <c r="L19">
        <v>9.9</v>
      </c>
    </row>
    <row r="20" spans="1:12" x14ac:dyDescent="0.35">
      <c r="A20" t="s">
        <v>16</v>
      </c>
      <c r="B20" t="s">
        <v>25</v>
      </c>
      <c r="C20" t="s">
        <v>14</v>
      </c>
      <c r="D20" t="s">
        <v>26</v>
      </c>
      <c r="E20">
        <v>24</v>
      </c>
      <c r="F20">
        <v>179</v>
      </c>
      <c r="G20">
        <v>63</v>
      </c>
      <c r="H20">
        <v>19.7</v>
      </c>
      <c r="I20">
        <v>110</v>
      </c>
      <c r="J20">
        <v>90</v>
      </c>
      <c r="K20">
        <v>72</v>
      </c>
      <c r="L20">
        <v>8.6</v>
      </c>
    </row>
    <row r="21" spans="1:12" x14ac:dyDescent="0.35">
      <c r="A21" t="s">
        <v>12</v>
      </c>
      <c r="B21" t="s">
        <v>21</v>
      </c>
      <c r="C21" t="s">
        <v>14</v>
      </c>
      <c r="D21" t="s">
        <v>15</v>
      </c>
      <c r="E21">
        <v>46</v>
      </c>
      <c r="F21">
        <v>167</v>
      </c>
      <c r="G21">
        <v>56</v>
      </c>
      <c r="H21">
        <v>20.100000000000001</v>
      </c>
      <c r="I21">
        <v>130</v>
      </c>
      <c r="J21">
        <v>77</v>
      </c>
      <c r="K21">
        <v>81</v>
      </c>
      <c r="L21">
        <v>7.9</v>
      </c>
    </row>
    <row r="22" spans="1:12" x14ac:dyDescent="0.35">
      <c r="A22" t="s">
        <v>16</v>
      </c>
      <c r="B22" t="s">
        <v>21</v>
      </c>
      <c r="C22" t="s">
        <v>23</v>
      </c>
      <c r="D22" t="s">
        <v>15</v>
      </c>
      <c r="E22">
        <v>55</v>
      </c>
      <c r="F22">
        <v>163</v>
      </c>
      <c r="G22">
        <v>69</v>
      </c>
      <c r="H22">
        <v>26</v>
      </c>
      <c r="I22">
        <v>139</v>
      </c>
      <c r="J22">
        <v>74</v>
      </c>
      <c r="K22">
        <v>86</v>
      </c>
      <c r="L22">
        <v>8</v>
      </c>
    </row>
    <row r="23" spans="1:12" x14ac:dyDescent="0.35">
      <c r="A23" t="s">
        <v>12</v>
      </c>
      <c r="B23" t="s">
        <v>17</v>
      </c>
      <c r="C23" t="s">
        <v>14</v>
      </c>
      <c r="D23" t="s">
        <v>15</v>
      </c>
      <c r="E23">
        <v>33</v>
      </c>
      <c r="F23">
        <v>167</v>
      </c>
      <c r="G23">
        <v>57</v>
      </c>
      <c r="H23">
        <v>20.399999999999999</v>
      </c>
      <c r="I23">
        <v>122</v>
      </c>
      <c r="J23">
        <v>86</v>
      </c>
      <c r="K23">
        <v>63</v>
      </c>
      <c r="L23">
        <v>7.7</v>
      </c>
    </row>
    <row r="24" spans="1:12" x14ac:dyDescent="0.35">
      <c r="A24" t="s">
        <v>16</v>
      </c>
      <c r="B24" t="s">
        <v>17</v>
      </c>
      <c r="C24" t="s">
        <v>14</v>
      </c>
      <c r="D24" t="s">
        <v>20</v>
      </c>
      <c r="E24">
        <v>30</v>
      </c>
      <c r="F24">
        <v>185</v>
      </c>
      <c r="G24">
        <v>90</v>
      </c>
      <c r="H24">
        <v>26.3</v>
      </c>
      <c r="I24">
        <v>143</v>
      </c>
      <c r="J24">
        <v>74</v>
      </c>
      <c r="K24">
        <v>67</v>
      </c>
      <c r="L24">
        <v>9.5</v>
      </c>
    </row>
    <row r="25" spans="1:12" x14ac:dyDescent="0.35">
      <c r="A25" t="s">
        <v>16</v>
      </c>
      <c r="B25" t="s">
        <v>17</v>
      </c>
      <c r="C25" t="s">
        <v>19</v>
      </c>
      <c r="D25" t="s">
        <v>20</v>
      </c>
      <c r="E25">
        <v>36</v>
      </c>
      <c r="F25">
        <v>165</v>
      </c>
      <c r="G25">
        <v>58</v>
      </c>
      <c r="H25">
        <v>21.3</v>
      </c>
      <c r="I25">
        <v>113</v>
      </c>
      <c r="J25">
        <v>73</v>
      </c>
      <c r="K25">
        <v>62</v>
      </c>
      <c r="L25">
        <v>7.8</v>
      </c>
    </row>
    <row r="26" spans="1:12" x14ac:dyDescent="0.35">
      <c r="A26" t="s">
        <v>16</v>
      </c>
      <c r="B26" t="s">
        <v>17</v>
      </c>
      <c r="C26" t="s">
        <v>23</v>
      </c>
      <c r="D26" t="s">
        <v>18</v>
      </c>
      <c r="E26">
        <v>46</v>
      </c>
      <c r="F26">
        <v>158</v>
      </c>
      <c r="G26">
        <v>68</v>
      </c>
      <c r="H26">
        <v>27.2</v>
      </c>
      <c r="I26">
        <v>137</v>
      </c>
      <c r="J26">
        <v>91</v>
      </c>
      <c r="K26">
        <v>88</v>
      </c>
      <c r="L26">
        <v>7.8</v>
      </c>
    </row>
    <row r="27" spans="1:12" x14ac:dyDescent="0.35">
      <c r="A27" t="s">
        <v>16</v>
      </c>
      <c r="B27" t="s">
        <v>17</v>
      </c>
      <c r="C27" t="s">
        <v>19</v>
      </c>
      <c r="D27" t="s">
        <v>18</v>
      </c>
      <c r="E27">
        <v>26</v>
      </c>
      <c r="F27">
        <v>188</v>
      </c>
      <c r="G27">
        <v>95</v>
      </c>
      <c r="H27">
        <v>26.9</v>
      </c>
      <c r="I27">
        <v>147</v>
      </c>
      <c r="J27">
        <v>88</v>
      </c>
      <c r="K27">
        <v>68</v>
      </c>
      <c r="L27">
        <v>9.6</v>
      </c>
    </row>
    <row r="28" spans="1:12" x14ac:dyDescent="0.35">
      <c r="A28" t="s">
        <v>16</v>
      </c>
      <c r="B28" t="s">
        <v>17</v>
      </c>
      <c r="C28" t="s">
        <v>23</v>
      </c>
      <c r="D28" t="s">
        <v>26</v>
      </c>
      <c r="E28">
        <v>32</v>
      </c>
      <c r="F28">
        <v>158</v>
      </c>
      <c r="G28">
        <v>95</v>
      </c>
      <c r="H28">
        <v>38.1</v>
      </c>
      <c r="I28">
        <v>140</v>
      </c>
      <c r="J28">
        <v>90</v>
      </c>
      <c r="K28">
        <v>88</v>
      </c>
      <c r="L28">
        <v>8.4</v>
      </c>
    </row>
    <row r="29" spans="1:12" x14ac:dyDescent="0.35">
      <c r="A29" t="s">
        <v>16</v>
      </c>
      <c r="B29" t="s">
        <v>22</v>
      </c>
      <c r="C29" t="s">
        <v>14</v>
      </c>
      <c r="D29" t="s">
        <v>20</v>
      </c>
      <c r="E29">
        <v>55</v>
      </c>
      <c r="F29">
        <v>173</v>
      </c>
      <c r="G29">
        <v>79</v>
      </c>
      <c r="H29">
        <v>26.4</v>
      </c>
      <c r="I29">
        <v>136</v>
      </c>
      <c r="J29">
        <v>71</v>
      </c>
      <c r="K29">
        <v>61</v>
      </c>
      <c r="L29">
        <v>7.6</v>
      </c>
    </row>
    <row r="30" spans="1:12" x14ac:dyDescent="0.35">
      <c r="A30" t="s">
        <v>16</v>
      </c>
      <c r="B30" t="s">
        <v>21</v>
      </c>
      <c r="C30" t="s">
        <v>14</v>
      </c>
      <c r="D30" t="s">
        <v>26</v>
      </c>
      <c r="E30">
        <v>45</v>
      </c>
      <c r="F30">
        <v>160</v>
      </c>
      <c r="G30">
        <v>64</v>
      </c>
      <c r="H30">
        <v>25</v>
      </c>
      <c r="I30">
        <v>114</v>
      </c>
      <c r="J30">
        <v>80</v>
      </c>
      <c r="K30">
        <v>61</v>
      </c>
      <c r="L30">
        <v>7.6</v>
      </c>
    </row>
    <row r="31" spans="1:12" x14ac:dyDescent="0.35">
      <c r="A31" t="s">
        <v>16</v>
      </c>
      <c r="B31" t="s">
        <v>17</v>
      </c>
      <c r="C31" t="s">
        <v>19</v>
      </c>
      <c r="D31" t="s">
        <v>18</v>
      </c>
      <c r="E31">
        <v>36</v>
      </c>
      <c r="F31">
        <v>188</v>
      </c>
      <c r="G31">
        <v>75</v>
      </c>
      <c r="H31">
        <v>21.2</v>
      </c>
      <c r="I31">
        <v>134</v>
      </c>
      <c r="J31">
        <v>91</v>
      </c>
      <c r="K31">
        <v>87</v>
      </c>
      <c r="L31">
        <v>7.9</v>
      </c>
    </row>
    <row r="32" spans="1:12" x14ac:dyDescent="0.35">
      <c r="A32" t="s">
        <v>12</v>
      </c>
      <c r="B32" t="s">
        <v>21</v>
      </c>
      <c r="C32" t="s">
        <v>23</v>
      </c>
      <c r="D32" t="s">
        <v>26</v>
      </c>
      <c r="E32">
        <v>59</v>
      </c>
      <c r="F32">
        <v>172</v>
      </c>
      <c r="G32">
        <v>90</v>
      </c>
      <c r="H32">
        <v>30.4</v>
      </c>
      <c r="I32">
        <v>112</v>
      </c>
      <c r="J32">
        <v>82</v>
      </c>
      <c r="K32">
        <v>72</v>
      </c>
      <c r="L32">
        <v>8</v>
      </c>
    </row>
    <row r="33" spans="1:12" x14ac:dyDescent="0.35">
      <c r="A33" t="s">
        <v>12</v>
      </c>
      <c r="B33" t="s">
        <v>21</v>
      </c>
      <c r="C33" t="s">
        <v>14</v>
      </c>
      <c r="D33" t="s">
        <v>18</v>
      </c>
      <c r="E33">
        <v>29</v>
      </c>
      <c r="F33">
        <v>167</v>
      </c>
      <c r="G33">
        <v>66</v>
      </c>
      <c r="H33">
        <v>23.7</v>
      </c>
      <c r="I33">
        <v>142</v>
      </c>
      <c r="J33">
        <v>84</v>
      </c>
      <c r="K33">
        <v>74</v>
      </c>
      <c r="L33">
        <v>9.1999999999999993</v>
      </c>
    </row>
    <row r="34" spans="1:12" x14ac:dyDescent="0.35">
      <c r="A34" t="s">
        <v>16</v>
      </c>
      <c r="B34" t="s">
        <v>13</v>
      </c>
      <c r="C34" t="s">
        <v>14</v>
      </c>
      <c r="D34" t="s">
        <v>20</v>
      </c>
      <c r="E34">
        <v>26</v>
      </c>
      <c r="F34">
        <v>177</v>
      </c>
      <c r="G34">
        <v>81</v>
      </c>
      <c r="H34">
        <v>25.9</v>
      </c>
      <c r="I34">
        <v>113</v>
      </c>
      <c r="J34">
        <v>81</v>
      </c>
      <c r="K34">
        <v>87</v>
      </c>
      <c r="L34">
        <v>7.9</v>
      </c>
    </row>
    <row r="35" spans="1:12" x14ac:dyDescent="0.35">
      <c r="A35" t="s">
        <v>16</v>
      </c>
      <c r="B35" t="s">
        <v>22</v>
      </c>
      <c r="C35" t="s">
        <v>14</v>
      </c>
      <c r="D35" t="s">
        <v>15</v>
      </c>
      <c r="E35">
        <v>47</v>
      </c>
      <c r="F35">
        <v>173</v>
      </c>
      <c r="G35">
        <v>94</v>
      </c>
      <c r="H35">
        <v>31.4</v>
      </c>
      <c r="I35">
        <v>134</v>
      </c>
      <c r="J35">
        <v>91</v>
      </c>
      <c r="K35">
        <v>82</v>
      </c>
      <c r="L35">
        <v>7.8</v>
      </c>
    </row>
    <row r="36" spans="1:12" x14ac:dyDescent="0.35">
      <c r="A36" t="s">
        <v>16</v>
      </c>
      <c r="B36" t="s">
        <v>17</v>
      </c>
      <c r="C36" t="s">
        <v>23</v>
      </c>
      <c r="D36" t="s">
        <v>20</v>
      </c>
      <c r="E36">
        <v>39</v>
      </c>
      <c r="F36">
        <v>165</v>
      </c>
      <c r="G36">
        <v>56</v>
      </c>
      <c r="H36">
        <v>20.6</v>
      </c>
      <c r="I36">
        <v>129</v>
      </c>
      <c r="J36">
        <v>90</v>
      </c>
      <c r="K36">
        <v>71</v>
      </c>
      <c r="L36">
        <v>9.4</v>
      </c>
    </row>
    <row r="37" spans="1:12" x14ac:dyDescent="0.35">
      <c r="A37" t="s">
        <v>12</v>
      </c>
      <c r="B37" t="s">
        <v>24</v>
      </c>
      <c r="C37" t="s">
        <v>19</v>
      </c>
      <c r="D37" t="s">
        <v>26</v>
      </c>
      <c r="E37">
        <v>27</v>
      </c>
      <c r="F37">
        <v>155</v>
      </c>
      <c r="G37">
        <v>67</v>
      </c>
      <c r="H37">
        <v>27.9</v>
      </c>
      <c r="I37">
        <v>143</v>
      </c>
      <c r="J37">
        <v>91</v>
      </c>
      <c r="K37">
        <v>85</v>
      </c>
      <c r="L37">
        <v>9.1999999999999993</v>
      </c>
    </row>
    <row r="38" spans="1:12" x14ac:dyDescent="0.35">
      <c r="A38" t="s">
        <v>16</v>
      </c>
      <c r="B38" t="s">
        <v>25</v>
      </c>
      <c r="C38" t="s">
        <v>14</v>
      </c>
      <c r="D38" t="s">
        <v>26</v>
      </c>
      <c r="E38">
        <v>58</v>
      </c>
      <c r="F38">
        <v>178</v>
      </c>
      <c r="G38">
        <v>86</v>
      </c>
      <c r="H38">
        <v>27.1</v>
      </c>
      <c r="I38">
        <v>135</v>
      </c>
      <c r="J38">
        <v>80</v>
      </c>
      <c r="K38">
        <v>63</v>
      </c>
      <c r="L38">
        <v>8.6</v>
      </c>
    </row>
    <row r="39" spans="1:12" x14ac:dyDescent="0.35">
      <c r="A39" t="s">
        <v>12</v>
      </c>
      <c r="B39" t="s">
        <v>24</v>
      </c>
      <c r="C39" t="s">
        <v>14</v>
      </c>
      <c r="D39" t="s">
        <v>20</v>
      </c>
      <c r="E39">
        <v>34</v>
      </c>
      <c r="F39">
        <v>161</v>
      </c>
      <c r="G39">
        <v>85</v>
      </c>
      <c r="H39">
        <v>32.799999999999997</v>
      </c>
      <c r="I39">
        <v>114</v>
      </c>
      <c r="J39">
        <v>76</v>
      </c>
      <c r="K39">
        <v>85</v>
      </c>
      <c r="L39">
        <v>8.9</v>
      </c>
    </row>
    <row r="40" spans="1:12" x14ac:dyDescent="0.35">
      <c r="A40" t="s">
        <v>12</v>
      </c>
      <c r="B40" t="s">
        <v>22</v>
      </c>
      <c r="C40" t="s">
        <v>14</v>
      </c>
      <c r="D40" t="s">
        <v>20</v>
      </c>
      <c r="E40">
        <v>49</v>
      </c>
      <c r="F40">
        <v>179</v>
      </c>
      <c r="G40">
        <v>70</v>
      </c>
      <c r="H40">
        <v>21.8</v>
      </c>
      <c r="I40">
        <v>144</v>
      </c>
      <c r="J40">
        <v>74</v>
      </c>
      <c r="K40">
        <v>67</v>
      </c>
      <c r="L40">
        <v>8.3000000000000007</v>
      </c>
    </row>
    <row r="41" spans="1:12" x14ac:dyDescent="0.35">
      <c r="A41" t="s">
        <v>12</v>
      </c>
      <c r="B41" t="s">
        <v>25</v>
      </c>
      <c r="C41" t="s">
        <v>19</v>
      </c>
      <c r="D41" t="s">
        <v>18</v>
      </c>
      <c r="E41">
        <v>26</v>
      </c>
      <c r="F41">
        <v>175</v>
      </c>
      <c r="G41">
        <v>86</v>
      </c>
      <c r="H41">
        <v>28.1</v>
      </c>
      <c r="I41">
        <v>137</v>
      </c>
      <c r="J41">
        <v>86</v>
      </c>
      <c r="K41">
        <v>68</v>
      </c>
      <c r="L41">
        <v>8.6999999999999993</v>
      </c>
    </row>
    <row r="42" spans="1:12" x14ac:dyDescent="0.35">
      <c r="A42" t="s">
        <v>12</v>
      </c>
      <c r="B42" t="s">
        <v>22</v>
      </c>
      <c r="C42" t="s">
        <v>23</v>
      </c>
      <c r="D42" t="s">
        <v>26</v>
      </c>
      <c r="E42">
        <v>34</v>
      </c>
      <c r="F42">
        <v>169</v>
      </c>
      <c r="G42">
        <v>86</v>
      </c>
      <c r="H42">
        <v>30.1</v>
      </c>
      <c r="I42">
        <v>138</v>
      </c>
      <c r="J42">
        <v>93</v>
      </c>
      <c r="K42">
        <v>82</v>
      </c>
      <c r="L42">
        <v>8.8000000000000007</v>
      </c>
    </row>
    <row r="43" spans="1:12" x14ac:dyDescent="0.35">
      <c r="A43" t="s">
        <v>12</v>
      </c>
      <c r="B43" t="s">
        <v>21</v>
      </c>
      <c r="C43" t="s">
        <v>23</v>
      </c>
      <c r="D43" t="s">
        <v>26</v>
      </c>
      <c r="E43">
        <v>38</v>
      </c>
      <c r="F43">
        <v>155</v>
      </c>
      <c r="G43">
        <v>88</v>
      </c>
      <c r="H43">
        <v>36.6</v>
      </c>
      <c r="I43">
        <v>118</v>
      </c>
      <c r="J43">
        <v>89</v>
      </c>
      <c r="K43">
        <v>64</v>
      </c>
      <c r="L43">
        <v>8.5</v>
      </c>
    </row>
    <row r="44" spans="1:12" x14ac:dyDescent="0.35">
      <c r="A44" t="s">
        <v>16</v>
      </c>
      <c r="B44" t="s">
        <v>25</v>
      </c>
      <c r="C44" t="s">
        <v>14</v>
      </c>
      <c r="D44" t="s">
        <v>20</v>
      </c>
      <c r="E44">
        <v>53</v>
      </c>
      <c r="F44">
        <v>166</v>
      </c>
      <c r="G44">
        <v>65</v>
      </c>
      <c r="H44">
        <v>23.6</v>
      </c>
      <c r="I44">
        <v>147</v>
      </c>
      <c r="J44">
        <v>78</v>
      </c>
      <c r="K44">
        <v>83</v>
      </c>
      <c r="L44">
        <v>9.8000000000000007</v>
      </c>
    </row>
    <row r="45" spans="1:12" x14ac:dyDescent="0.35">
      <c r="A45" t="s">
        <v>16</v>
      </c>
      <c r="B45" t="s">
        <v>21</v>
      </c>
      <c r="C45" t="s">
        <v>14</v>
      </c>
      <c r="D45" t="s">
        <v>15</v>
      </c>
      <c r="E45">
        <v>50</v>
      </c>
      <c r="F45">
        <v>161</v>
      </c>
      <c r="G45">
        <v>64</v>
      </c>
      <c r="H45">
        <v>24.7</v>
      </c>
      <c r="I45">
        <v>115</v>
      </c>
      <c r="J45">
        <v>83</v>
      </c>
      <c r="K45">
        <v>79</v>
      </c>
      <c r="L45">
        <v>7.5</v>
      </c>
    </row>
    <row r="46" spans="1:12" x14ac:dyDescent="0.35">
      <c r="A46" t="s">
        <v>16</v>
      </c>
      <c r="B46" t="s">
        <v>24</v>
      </c>
      <c r="C46" t="s">
        <v>14</v>
      </c>
      <c r="D46" t="s">
        <v>26</v>
      </c>
      <c r="E46">
        <v>24</v>
      </c>
      <c r="F46">
        <v>169</v>
      </c>
      <c r="G46">
        <v>69</v>
      </c>
      <c r="H46">
        <v>24.2</v>
      </c>
      <c r="I46">
        <v>128</v>
      </c>
      <c r="J46">
        <v>81</v>
      </c>
      <c r="K46">
        <v>77</v>
      </c>
      <c r="L46">
        <v>9.5</v>
      </c>
    </row>
    <row r="47" spans="1:12" x14ac:dyDescent="0.35">
      <c r="A47" t="s">
        <v>16</v>
      </c>
      <c r="B47" t="s">
        <v>24</v>
      </c>
      <c r="C47" t="s">
        <v>14</v>
      </c>
      <c r="D47" t="s">
        <v>15</v>
      </c>
      <c r="E47">
        <v>55</v>
      </c>
      <c r="F47">
        <v>175</v>
      </c>
      <c r="G47">
        <v>71</v>
      </c>
      <c r="H47">
        <v>23.2</v>
      </c>
      <c r="I47">
        <v>120</v>
      </c>
      <c r="J47">
        <v>75</v>
      </c>
      <c r="K47">
        <v>70</v>
      </c>
      <c r="L47">
        <v>7.8</v>
      </c>
    </row>
    <row r="48" spans="1:12" x14ac:dyDescent="0.35">
      <c r="A48" t="s">
        <v>16</v>
      </c>
      <c r="B48" t="s">
        <v>25</v>
      </c>
      <c r="C48" t="s">
        <v>23</v>
      </c>
      <c r="D48" t="s">
        <v>20</v>
      </c>
      <c r="E48">
        <v>48</v>
      </c>
      <c r="F48">
        <v>173</v>
      </c>
      <c r="G48">
        <v>94</v>
      </c>
      <c r="H48">
        <v>31.4</v>
      </c>
      <c r="I48">
        <v>111</v>
      </c>
      <c r="J48">
        <v>86</v>
      </c>
      <c r="K48">
        <v>74</v>
      </c>
      <c r="L48">
        <v>9.5</v>
      </c>
    </row>
    <row r="49" spans="1:12" x14ac:dyDescent="0.35">
      <c r="A49" t="s">
        <v>12</v>
      </c>
      <c r="B49" t="s">
        <v>25</v>
      </c>
      <c r="C49" t="s">
        <v>23</v>
      </c>
      <c r="D49" t="s">
        <v>20</v>
      </c>
      <c r="E49">
        <v>34</v>
      </c>
      <c r="F49">
        <v>183</v>
      </c>
      <c r="G49">
        <v>72</v>
      </c>
      <c r="H49">
        <v>21.5</v>
      </c>
      <c r="I49">
        <v>118</v>
      </c>
      <c r="J49">
        <v>88</v>
      </c>
      <c r="K49">
        <v>87</v>
      </c>
      <c r="L49">
        <v>9</v>
      </c>
    </row>
    <row r="50" spans="1:12" x14ac:dyDescent="0.35">
      <c r="A50" t="s">
        <v>16</v>
      </c>
      <c r="B50" t="s">
        <v>17</v>
      </c>
      <c r="C50" t="s">
        <v>19</v>
      </c>
      <c r="D50" t="s">
        <v>18</v>
      </c>
      <c r="E50">
        <v>54</v>
      </c>
      <c r="F50">
        <v>179</v>
      </c>
      <c r="G50">
        <v>63</v>
      </c>
      <c r="H50">
        <v>19.7</v>
      </c>
      <c r="I50">
        <v>130</v>
      </c>
      <c r="J50">
        <v>88</v>
      </c>
      <c r="K50">
        <v>81</v>
      </c>
      <c r="L50">
        <v>9.6</v>
      </c>
    </row>
    <row r="51" spans="1:12" x14ac:dyDescent="0.35">
      <c r="A51" t="s">
        <v>16</v>
      </c>
      <c r="B51" t="s">
        <v>22</v>
      </c>
      <c r="C51" t="s">
        <v>19</v>
      </c>
      <c r="D51" t="s">
        <v>26</v>
      </c>
      <c r="E51">
        <v>27</v>
      </c>
      <c r="F51">
        <v>187</v>
      </c>
      <c r="G51">
        <v>79</v>
      </c>
      <c r="H51">
        <v>22.6</v>
      </c>
      <c r="I51">
        <v>133</v>
      </c>
      <c r="J51">
        <v>85</v>
      </c>
      <c r="K51">
        <v>68</v>
      </c>
      <c r="L51">
        <v>7.7</v>
      </c>
    </row>
    <row r="52" spans="1:12" x14ac:dyDescent="0.35">
      <c r="A52" t="s">
        <v>12</v>
      </c>
      <c r="B52" t="s">
        <v>17</v>
      </c>
      <c r="C52" t="s">
        <v>14</v>
      </c>
      <c r="D52" t="s">
        <v>15</v>
      </c>
      <c r="E52">
        <v>45</v>
      </c>
      <c r="F52">
        <v>186</v>
      </c>
      <c r="G52">
        <v>94</v>
      </c>
      <c r="H52">
        <v>27.2</v>
      </c>
      <c r="I52">
        <v>143</v>
      </c>
      <c r="J52">
        <v>81</v>
      </c>
      <c r="K52">
        <v>76</v>
      </c>
      <c r="L52">
        <v>8.9</v>
      </c>
    </row>
    <row r="53" spans="1:12" x14ac:dyDescent="0.35">
      <c r="A53" t="s">
        <v>16</v>
      </c>
      <c r="B53" t="s">
        <v>22</v>
      </c>
      <c r="C53" t="s">
        <v>23</v>
      </c>
      <c r="D53" t="s">
        <v>18</v>
      </c>
      <c r="E53">
        <v>40</v>
      </c>
      <c r="F53">
        <v>189</v>
      </c>
      <c r="G53">
        <v>68</v>
      </c>
      <c r="H53">
        <v>19</v>
      </c>
      <c r="I53">
        <v>131</v>
      </c>
      <c r="J53">
        <v>81</v>
      </c>
      <c r="K53">
        <v>86</v>
      </c>
      <c r="L53">
        <v>8.8000000000000007</v>
      </c>
    </row>
    <row r="54" spans="1:12" x14ac:dyDescent="0.35">
      <c r="A54" t="s">
        <v>12</v>
      </c>
      <c r="B54" t="s">
        <v>17</v>
      </c>
      <c r="C54" t="s">
        <v>19</v>
      </c>
      <c r="D54" t="s">
        <v>26</v>
      </c>
      <c r="E54">
        <v>37</v>
      </c>
      <c r="F54">
        <v>180</v>
      </c>
      <c r="G54">
        <v>79</v>
      </c>
      <c r="H54">
        <v>24.4</v>
      </c>
      <c r="I54">
        <v>112</v>
      </c>
      <c r="J54">
        <v>89</v>
      </c>
      <c r="K54">
        <v>85</v>
      </c>
      <c r="L54">
        <v>9.3000000000000007</v>
      </c>
    </row>
    <row r="55" spans="1:12" x14ac:dyDescent="0.35">
      <c r="A55" t="s">
        <v>16</v>
      </c>
      <c r="B55" t="s">
        <v>21</v>
      </c>
      <c r="C55" t="s">
        <v>23</v>
      </c>
      <c r="D55" t="s">
        <v>18</v>
      </c>
      <c r="E55">
        <v>49</v>
      </c>
      <c r="F55">
        <v>165</v>
      </c>
      <c r="G55">
        <v>76</v>
      </c>
      <c r="H55">
        <v>27.9</v>
      </c>
      <c r="I55">
        <v>121</v>
      </c>
      <c r="J55">
        <v>75</v>
      </c>
      <c r="K55">
        <v>71</v>
      </c>
      <c r="L55">
        <v>8.8000000000000007</v>
      </c>
    </row>
    <row r="56" spans="1:12" x14ac:dyDescent="0.35">
      <c r="A56" t="s">
        <v>12</v>
      </c>
      <c r="B56" t="s">
        <v>25</v>
      </c>
      <c r="C56" t="s">
        <v>14</v>
      </c>
      <c r="D56" t="s">
        <v>20</v>
      </c>
      <c r="E56">
        <v>54</v>
      </c>
      <c r="F56">
        <v>189</v>
      </c>
      <c r="G56">
        <v>84</v>
      </c>
      <c r="H56">
        <v>23.5</v>
      </c>
      <c r="I56">
        <v>137</v>
      </c>
      <c r="J56">
        <v>92</v>
      </c>
      <c r="K56">
        <v>66</v>
      </c>
      <c r="L56">
        <v>8.9</v>
      </c>
    </row>
    <row r="57" spans="1:12" x14ac:dyDescent="0.35">
      <c r="A57" t="s">
        <v>16</v>
      </c>
      <c r="B57" t="s">
        <v>24</v>
      </c>
      <c r="C57" t="s">
        <v>14</v>
      </c>
      <c r="D57" t="s">
        <v>26</v>
      </c>
      <c r="E57">
        <v>34</v>
      </c>
      <c r="F57">
        <v>162</v>
      </c>
      <c r="G57">
        <v>74</v>
      </c>
      <c r="H57">
        <v>28.2</v>
      </c>
      <c r="I57">
        <v>139</v>
      </c>
      <c r="J57">
        <v>73</v>
      </c>
      <c r="K57">
        <v>69</v>
      </c>
      <c r="L57">
        <v>8.6</v>
      </c>
    </row>
    <row r="58" spans="1:12" x14ac:dyDescent="0.35">
      <c r="A58" t="s">
        <v>16</v>
      </c>
      <c r="B58" t="s">
        <v>22</v>
      </c>
      <c r="C58" t="s">
        <v>14</v>
      </c>
      <c r="D58" t="s">
        <v>18</v>
      </c>
      <c r="E58">
        <v>46</v>
      </c>
      <c r="F58">
        <v>168</v>
      </c>
      <c r="G58">
        <v>75</v>
      </c>
      <c r="H58">
        <v>26.6</v>
      </c>
      <c r="I58">
        <v>135</v>
      </c>
      <c r="J58">
        <v>75</v>
      </c>
      <c r="K58">
        <v>84</v>
      </c>
      <c r="L58">
        <v>8.3000000000000007</v>
      </c>
    </row>
    <row r="59" spans="1:12" x14ac:dyDescent="0.35">
      <c r="A59" t="s">
        <v>12</v>
      </c>
      <c r="B59" t="s">
        <v>22</v>
      </c>
      <c r="C59" t="s">
        <v>19</v>
      </c>
      <c r="D59" t="s">
        <v>18</v>
      </c>
      <c r="E59">
        <v>57</v>
      </c>
      <c r="F59">
        <v>164</v>
      </c>
      <c r="G59">
        <v>98</v>
      </c>
      <c r="H59">
        <v>36.4</v>
      </c>
      <c r="I59">
        <v>130</v>
      </c>
      <c r="J59">
        <v>80</v>
      </c>
      <c r="K59">
        <v>85</v>
      </c>
      <c r="L59">
        <v>8.6999999999999993</v>
      </c>
    </row>
    <row r="60" spans="1:12" x14ac:dyDescent="0.35">
      <c r="A60" t="s">
        <v>12</v>
      </c>
      <c r="B60" t="s">
        <v>24</v>
      </c>
      <c r="C60" t="s">
        <v>14</v>
      </c>
      <c r="D60" t="s">
        <v>15</v>
      </c>
      <c r="E60">
        <v>48</v>
      </c>
      <c r="F60">
        <v>156</v>
      </c>
      <c r="G60">
        <v>86</v>
      </c>
      <c r="H60">
        <v>35.299999999999997</v>
      </c>
      <c r="I60">
        <v>137</v>
      </c>
      <c r="J60">
        <v>70</v>
      </c>
      <c r="K60">
        <v>84</v>
      </c>
      <c r="L60">
        <v>7.8</v>
      </c>
    </row>
    <row r="61" spans="1:12" x14ac:dyDescent="0.35">
      <c r="A61" t="s">
        <v>12</v>
      </c>
      <c r="B61" t="s">
        <v>17</v>
      </c>
      <c r="C61" t="s">
        <v>14</v>
      </c>
      <c r="D61" t="s">
        <v>18</v>
      </c>
      <c r="E61">
        <v>59</v>
      </c>
      <c r="F61">
        <v>163</v>
      </c>
      <c r="G61">
        <v>75</v>
      </c>
      <c r="H61">
        <v>28.2</v>
      </c>
      <c r="I61">
        <v>135</v>
      </c>
      <c r="J61">
        <v>93</v>
      </c>
      <c r="K61">
        <v>69</v>
      </c>
      <c r="L61">
        <v>9.9</v>
      </c>
    </row>
    <row r="62" spans="1:12" x14ac:dyDescent="0.35">
      <c r="A62" t="s">
        <v>12</v>
      </c>
      <c r="B62" t="s">
        <v>22</v>
      </c>
      <c r="C62" t="s">
        <v>14</v>
      </c>
      <c r="D62" t="s">
        <v>26</v>
      </c>
      <c r="E62">
        <v>28</v>
      </c>
      <c r="F62">
        <v>157</v>
      </c>
      <c r="G62">
        <v>89</v>
      </c>
      <c r="H62">
        <v>36.1</v>
      </c>
      <c r="I62">
        <v>142</v>
      </c>
      <c r="J62">
        <v>92</v>
      </c>
      <c r="K62">
        <v>86</v>
      </c>
      <c r="L62">
        <v>9.3000000000000007</v>
      </c>
    </row>
    <row r="63" spans="1:12" x14ac:dyDescent="0.35">
      <c r="A63" t="s">
        <v>12</v>
      </c>
      <c r="B63" t="s">
        <v>21</v>
      </c>
      <c r="C63" t="s">
        <v>14</v>
      </c>
      <c r="D63" t="s">
        <v>26</v>
      </c>
      <c r="E63">
        <v>26</v>
      </c>
      <c r="F63">
        <v>175</v>
      </c>
      <c r="G63">
        <v>86</v>
      </c>
      <c r="H63">
        <v>28.1</v>
      </c>
      <c r="I63">
        <v>130</v>
      </c>
      <c r="J63">
        <v>84</v>
      </c>
      <c r="K63">
        <v>72</v>
      </c>
      <c r="L63">
        <v>9.9</v>
      </c>
    </row>
    <row r="64" spans="1:12" x14ac:dyDescent="0.35">
      <c r="A64" t="s">
        <v>12</v>
      </c>
      <c r="B64" t="s">
        <v>25</v>
      </c>
      <c r="C64" t="s">
        <v>14</v>
      </c>
      <c r="D64" t="s">
        <v>15</v>
      </c>
      <c r="E64">
        <v>52</v>
      </c>
      <c r="F64">
        <v>180</v>
      </c>
      <c r="G64">
        <v>84</v>
      </c>
      <c r="H64">
        <v>25.9</v>
      </c>
      <c r="I64">
        <v>144</v>
      </c>
      <c r="J64">
        <v>80</v>
      </c>
      <c r="K64">
        <v>78</v>
      </c>
      <c r="L64">
        <v>8.1</v>
      </c>
    </row>
    <row r="65" spans="1:12" x14ac:dyDescent="0.35">
      <c r="A65" t="s">
        <v>12</v>
      </c>
      <c r="B65" t="s">
        <v>24</v>
      </c>
      <c r="C65" t="s">
        <v>14</v>
      </c>
      <c r="D65" t="s">
        <v>26</v>
      </c>
      <c r="E65">
        <v>44</v>
      </c>
      <c r="F65">
        <v>162</v>
      </c>
      <c r="G65">
        <v>93</v>
      </c>
      <c r="H65">
        <v>35.4</v>
      </c>
      <c r="I65">
        <v>143</v>
      </c>
      <c r="J65">
        <v>94</v>
      </c>
      <c r="K65">
        <v>70</v>
      </c>
      <c r="L65">
        <v>9.6999999999999993</v>
      </c>
    </row>
    <row r="66" spans="1:12" x14ac:dyDescent="0.35">
      <c r="A66" t="s">
        <v>12</v>
      </c>
      <c r="B66" t="s">
        <v>25</v>
      </c>
      <c r="C66" t="s">
        <v>14</v>
      </c>
      <c r="D66" t="s">
        <v>20</v>
      </c>
      <c r="E66">
        <v>31</v>
      </c>
      <c r="F66">
        <v>156</v>
      </c>
      <c r="G66">
        <v>66</v>
      </c>
      <c r="H66">
        <v>27.1</v>
      </c>
      <c r="I66">
        <v>127</v>
      </c>
      <c r="J66">
        <v>88</v>
      </c>
      <c r="K66">
        <v>72</v>
      </c>
      <c r="L66">
        <v>9.5</v>
      </c>
    </row>
    <row r="67" spans="1:12" x14ac:dyDescent="0.35">
      <c r="A67" t="s">
        <v>16</v>
      </c>
      <c r="B67" t="s">
        <v>22</v>
      </c>
      <c r="C67" t="s">
        <v>14</v>
      </c>
      <c r="D67" t="s">
        <v>26</v>
      </c>
      <c r="E67">
        <v>53</v>
      </c>
      <c r="F67">
        <v>160</v>
      </c>
      <c r="G67">
        <v>95</v>
      </c>
      <c r="H67">
        <v>37.1</v>
      </c>
      <c r="I67">
        <v>120</v>
      </c>
      <c r="J67">
        <v>87</v>
      </c>
      <c r="K67">
        <v>80</v>
      </c>
      <c r="L67">
        <v>9.1999999999999993</v>
      </c>
    </row>
    <row r="68" spans="1:12" x14ac:dyDescent="0.35">
      <c r="A68" t="s">
        <v>16</v>
      </c>
      <c r="B68" t="s">
        <v>22</v>
      </c>
      <c r="C68" t="s">
        <v>23</v>
      </c>
      <c r="D68" t="s">
        <v>26</v>
      </c>
      <c r="E68">
        <v>51</v>
      </c>
      <c r="F68">
        <v>182</v>
      </c>
      <c r="G68">
        <v>72</v>
      </c>
      <c r="H68">
        <v>21.7</v>
      </c>
      <c r="I68">
        <v>132</v>
      </c>
      <c r="J68">
        <v>86</v>
      </c>
      <c r="K68">
        <v>67</v>
      </c>
      <c r="L68">
        <v>9.1</v>
      </c>
    </row>
    <row r="69" spans="1:12" x14ac:dyDescent="0.35">
      <c r="A69" t="s">
        <v>12</v>
      </c>
      <c r="B69" t="s">
        <v>24</v>
      </c>
      <c r="C69" t="s">
        <v>14</v>
      </c>
      <c r="D69" t="s">
        <v>18</v>
      </c>
      <c r="E69">
        <v>52</v>
      </c>
      <c r="F69">
        <v>183</v>
      </c>
      <c r="G69">
        <v>75</v>
      </c>
      <c r="H69">
        <v>22.4</v>
      </c>
      <c r="I69">
        <v>131</v>
      </c>
      <c r="J69">
        <v>88</v>
      </c>
      <c r="K69">
        <v>67</v>
      </c>
      <c r="L69">
        <v>8.3000000000000007</v>
      </c>
    </row>
    <row r="70" spans="1:12" x14ac:dyDescent="0.35">
      <c r="A70" t="s">
        <v>16</v>
      </c>
      <c r="B70" t="s">
        <v>21</v>
      </c>
      <c r="C70" t="s">
        <v>23</v>
      </c>
      <c r="D70" t="s">
        <v>18</v>
      </c>
      <c r="E70">
        <v>39</v>
      </c>
      <c r="F70">
        <v>180</v>
      </c>
      <c r="G70">
        <v>67</v>
      </c>
      <c r="H70">
        <v>20.7</v>
      </c>
      <c r="I70">
        <v>126</v>
      </c>
      <c r="J70">
        <v>90</v>
      </c>
      <c r="K70">
        <v>63</v>
      </c>
      <c r="L70">
        <v>9.5</v>
      </c>
    </row>
    <row r="71" spans="1:12" x14ac:dyDescent="0.35">
      <c r="A71" t="s">
        <v>16</v>
      </c>
      <c r="B71" t="s">
        <v>13</v>
      </c>
      <c r="C71" t="s">
        <v>14</v>
      </c>
      <c r="D71" t="s">
        <v>26</v>
      </c>
      <c r="E71">
        <v>57</v>
      </c>
      <c r="F71">
        <v>179</v>
      </c>
      <c r="G71">
        <v>75</v>
      </c>
      <c r="H71">
        <v>23.4</v>
      </c>
      <c r="I71">
        <v>114</v>
      </c>
      <c r="J71">
        <v>83</v>
      </c>
      <c r="K71">
        <v>74</v>
      </c>
      <c r="L71">
        <v>8.8000000000000007</v>
      </c>
    </row>
    <row r="72" spans="1:12" x14ac:dyDescent="0.35">
      <c r="A72" t="s">
        <v>16</v>
      </c>
      <c r="B72" t="s">
        <v>24</v>
      </c>
      <c r="C72" t="s">
        <v>14</v>
      </c>
      <c r="D72" t="s">
        <v>15</v>
      </c>
      <c r="E72">
        <v>23</v>
      </c>
      <c r="F72">
        <v>166</v>
      </c>
      <c r="G72">
        <v>62</v>
      </c>
      <c r="H72">
        <v>22.5</v>
      </c>
      <c r="I72">
        <v>120</v>
      </c>
      <c r="J72">
        <v>87</v>
      </c>
      <c r="K72">
        <v>87</v>
      </c>
      <c r="L72">
        <v>7.7</v>
      </c>
    </row>
    <row r="73" spans="1:12" x14ac:dyDescent="0.35">
      <c r="A73" t="s">
        <v>16</v>
      </c>
      <c r="B73" t="s">
        <v>13</v>
      </c>
      <c r="C73" t="s">
        <v>23</v>
      </c>
      <c r="D73" t="s">
        <v>18</v>
      </c>
      <c r="E73">
        <v>35</v>
      </c>
      <c r="F73">
        <v>159</v>
      </c>
      <c r="G73">
        <v>94</v>
      </c>
      <c r="H73">
        <v>37.200000000000003</v>
      </c>
      <c r="I73">
        <v>139</v>
      </c>
      <c r="J73">
        <v>88</v>
      </c>
      <c r="K73">
        <v>70</v>
      </c>
      <c r="L73">
        <v>8.3000000000000007</v>
      </c>
    </row>
    <row r="74" spans="1:12" x14ac:dyDescent="0.35">
      <c r="A74" t="s">
        <v>12</v>
      </c>
      <c r="B74" t="s">
        <v>17</v>
      </c>
      <c r="C74" t="s">
        <v>14</v>
      </c>
      <c r="D74" t="s">
        <v>15</v>
      </c>
      <c r="E74">
        <v>34</v>
      </c>
      <c r="F74">
        <v>188</v>
      </c>
      <c r="G74">
        <v>61</v>
      </c>
      <c r="H74">
        <v>17.3</v>
      </c>
      <c r="I74">
        <v>124</v>
      </c>
      <c r="J74">
        <v>84</v>
      </c>
      <c r="K74">
        <v>70</v>
      </c>
      <c r="L74">
        <v>9.8000000000000007</v>
      </c>
    </row>
    <row r="75" spans="1:12" x14ac:dyDescent="0.35">
      <c r="A75" t="s">
        <v>16</v>
      </c>
      <c r="B75" t="s">
        <v>13</v>
      </c>
      <c r="C75" t="s">
        <v>14</v>
      </c>
      <c r="D75" t="s">
        <v>26</v>
      </c>
      <c r="E75">
        <v>50</v>
      </c>
      <c r="F75">
        <v>169</v>
      </c>
      <c r="G75">
        <v>77</v>
      </c>
      <c r="H75">
        <v>27</v>
      </c>
      <c r="I75">
        <v>136</v>
      </c>
      <c r="J75">
        <v>84</v>
      </c>
      <c r="K75">
        <v>60</v>
      </c>
      <c r="L75">
        <v>9.6</v>
      </c>
    </row>
    <row r="76" spans="1:12" x14ac:dyDescent="0.35">
      <c r="A76" t="s">
        <v>12</v>
      </c>
      <c r="B76" t="s">
        <v>21</v>
      </c>
      <c r="C76" t="s">
        <v>14</v>
      </c>
      <c r="D76" t="s">
        <v>26</v>
      </c>
      <c r="E76">
        <v>33</v>
      </c>
      <c r="F76">
        <v>169</v>
      </c>
      <c r="G76">
        <v>98</v>
      </c>
      <c r="H76">
        <v>34.299999999999997</v>
      </c>
      <c r="I76">
        <v>144</v>
      </c>
      <c r="J76">
        <v>73</v>
      </c>
      <c r="K76">
        <v>76</v>
      </c>
      <c r="L76">
        <v>10</v>
      </c>
    </row>
    <row r="77" spans="1:12" x14ac:dyDescent="0.35">
      <c r="A77" t="s">
        <v>16</v>
      </c>
      <c r="B77" t="s">
        <v>17</v>
      </c>
      <c r="C77" t="s">
        <v>23</v>
      </c>
      <c r="D77" t="s">
        <v>20</v>
      </c>
      <c r="E77">
        <v>23</v>
      </c>
      <c r="F77">
        <v>177</v>
      </c>
      <c r="G77">
        <v>86</v>
      </c>
      <c r="H77">
        <v>27.5</v>
      </c>
      <c r="I77">
        <v>142</v>
      </c>
      <c r="J77">
        <v>76</v>
      </c>
      <c r="K77">
        <v>74</v>
      </c>
      <c r="L77">
        <v>9.1</v>
      </c>
    </row>
    <row r="78" spans="1:12" x14ac:dyDescent="0.35">
      <c r="A78" t="s">
        <v>16</v>
      </c>
      <c r="B78" t="s">
        <v>13</v>
      </c>
      <c r="C78" t="s">
        <v>14</v>
      </c>
      <c r="D78" t="s">
        <v>18</v>
      </c>
      <c r="E78">
        <v>53</v>
      </c>
      <c r="F78">
        <v>160</v>
      </c>
      <c r="G78">
        <v>65</v>
      </c>
      <c r="H78">
        <v>25.4</v>
      </c>
      <c r="I78">
        <v>129</v>
      </c>
      <c r="J78">
        <v>82</v>
      </c>
      <c r="K78">
        <v>79</v>
      </c>
      <c r="L78">
        <v>8.1</v>
      </c>
    </row>
    <row r="79" spans="1:12" x14ac:dyDescent="0.35">
      <c r="A79" t="s">
        <v>16</v>
      </c>
      <c r="B79" t="s">
        <v>17</v>
      </c>
      <c r="C79" t="s">
        <v>23</v>
      </c>
      <c r="D79" t="s">
        <v>26</v>
      </c>
      <c r="E79">
        <v>34</v>
      </c>
      <c r="F79">
        <v>175</v>
      </c>
      <c r="G79">
        <v>76</v>
      </c>
      <c r="H79">
        <v>24.8</v>
      </c>
      <c r="I79">
        <v>125</v>
      </c>
      <c r="J79">
        <v>72</v>
      </c>
      <c r="K79">
        <v>65</v>
      </c>
      <c r="L79">
        <v>7.9</v>
      </c>
    </row>
    <row r="80" spans="1:12" x14ac:dyDescent="0.35">
      <c r="A80" t="s">
        <v>12</v>
      </c>
      <c r="B80" t="s">
        <v>13</v>
      </c>
      <c r="C80" t="s">
        <v>14</v>
      </c>
      <c r="D80" t="s">
        <v>20</v>
      </c>
      <c r="E80">
        <v>48</v>
      </c>
      <c r="F80">
        <v>177</v>
      </c>
      <c r="G80">
        <v>76</v>
      </c>
      <c r="H80">
        <v>24.3</v>
      </c>
      <c r="I80">
        <v>143</v>
      </c>
      <c r="J80">
        <v>85</v>
      </c>
      <c r="K80">
        <v>83</v>
      </c>
      <c r="L80">
        <v>8</v>
      </c>
    </row>
    <row r="81" spans="1:12" x14ac:dyDescent="0.35">
      <c r="A81" t="s">
        <v>16</v>
      </c>
      <c r="B81" t="s">
        <v>21</v>
      </c>
      <c r="C81" t="s">
        <v>14</v>
      </c>
      <c r="D81" t="s">
        <v>18</v>
      </c>
      <c r="E81">
        <v>38</v>
      </c>
      <c r="F81">
        <v>170</v>
      </c>
      <c r="G81">
        <v>97</v>
      </c>
      <c r="H81">
        <v>33.6</v>
      </c>
      <c r="I81">
        <v>111</v>
      </c>
      <c r="J81">
        <v>78</v>
      </c>
      <c r="K81">
        <v>81</v>
      </c>
      <c r="L81">
        <v>7.5</v>
      </c>
    </row>
    <row r="82" spans="1:12" x14ac:dyDescent="0.35">
      <c r="A82" t="s">
        <v>12</v>
      </c>
      <c r="B82" t="s">
        <v>13</v>
      </c>
      <c r="C82" t="s">
        <v>14</v>
      </c>
      <c r="D82" t="s">
        <v>26</v>
      </c>
      <c r="E82">
        <v>52</v>
      </c>
      <c r="F82">
        <v>169</v>
      </c>
      <c r="G82">
        <v>79</v>
      </c>
      <c r="H82">
        <v>27.7</v>
      </c>
      <c r="I82">
        <v>144</v>
      </c>
      <c r="J82">
        <v>77</v>
      </c>
      <c r="K82">
        <v>87</v>
      </c>
      <c r="L82">
        <v>8.5</v>
      </c>
    </row>
    <row r="83" spans="1:12" x14ac:dyDescent="0.35">
      <c r="A83" t="s">
        <v>16</v>
      </c>
      <c r="B83" t="s">
        <v>13</v>
      </c>
      <c r="C83" t="s">
        <v>14</v>
      </c>
      <c r="D83" t="s">
        <v>26</v>
      </c>
      <c r="E83">
        <v>55</v>
      </c>
      <c r="F83">
        <v>179</v>
      </c>
      <c r="G83">
        <v>76</v>
      </c>
      <c r="H83">
        <v>23.7</v>
      </c>
      <c r="I83">
        <v>149</v>
      </c>
      <c r="J83">
        <v>89</v>
      </c>
      <c r="K83">
        <v>84</v>
      </c>
      <c r="L83">
        <v>8</v>
      </c>
    </row>
    <row r="84" spans="1:12" x14ac:dyDescent="0.35">
      <c r="A84" t="s">
        <v>12</v>
      </c>
      <c r="B84" t="s">
        <v>13</v>
      </c>
      <c r="C84" t="s">
        <v>14</v>
      </c>
      <c r="D84" t="s">
        <v>18</v>
      </c>
      <c r="E84">
        <v>45</v>
      </c>
      <c r="F84">
        <v>165</v>
      </c>
      <c r="G84">
        <v>82</v>
      </c>
      <c r="H84">
        <v>30.1</v>
      </c>
      <c r="I84">
        <v>137</v>
      </c>
      <c r="J84">
        <v>82</v>
      </c>
      <c r="K84">
        <v>74</v>
      </c>
      <c r="L84">
        <v>8.5</v>
      </c>
    </row>
    <row r="85" spans="1:12" x14ac:dyDescent="0.35">
      <c r="A85" t="s">
        <v>16</v>
      </c>
      <c r="B85" t="s">
        <v>24</v>
      </c>
      <c r="C85" t="s">
        <v>14</v>
      </c>
      <c r="D85" t="s">
        <v>18</v>
      </c>
      <c r="E85">
        <v>56</v>
      </c>
      <c r="F85">
        <v>169</v>
      </c>
      <c r="G85">
        <v>83</v>
      </c>
      <c r="H85">
        <v>29.1</v>
      </c>
      <c r="I85">
        <v>148</v>
      </c>
      <c r="J85">
        <v>86</v>
      </c>
      <c r="K85">
        <v>68</v>
      </c>
      <c r="L85">
        <v>9.8000000000000007</v>
      </c>
    </row>
    <row r="86" spans="1:12" x14ac:dyDescent="0.35">
      <c r="A86" t="s">
        <v>12</v>
      </c>
      <c r="B86" t="s">
        <v>24</v>
      </c>
      <c r="C86" t="s">
        <v>14</v>
      </c>
      <c r="D86" t="s">
        <v>18</v>
      </c>
      <c r="E86">
        <v>27</v>
      </c>
      <c r="F86">
        <v>158</v>
      </c>
      <c r="G86">
        <v>67</v>
      </c>
      <c r="H86">
        <v>26.8</v>
      </c>
      <c r="I86">
        <v>115</v>
      </c>
      <c r="J86">
        <v>86</v>
      </c>
      <c r="K86">
        <v>73</v>
      </c>
      <c r="L86">
        <v>8.6</v>
      </c>
    </row>
    <row r="87" spans="1:12" x14ac:dyDescent="0.35">
      <c r="A87" t="s">
        <v>12</v>
      </c>
      <c r="B87" t="s">
        <v>24</v>
      </c>
      <c r="C87" t="s">
        <v>19</v>
      </c>
      <c r="D87" t="s">
        <v>26</v>
      </c>
      <c r="E87">
        <v>40</v>
      </c>
      <c r="F87">
        <v>175</v>
      </c>
      <c r="G87">
        <v>72</v>
      </c>
      <c r="H87">
        <v>23.5</v>
      </c>
      <c r="I87">
        <v>118</v>
      </c>
      <c r="J87">
        <v>86</v>
      </c>
      <c r="K87">
        <v>77</v>
      </c>
      <c r="L87">
        <v>9.6999999999999993</v>
      </c>
    </row>
    <row r="88" spans="1:12" x14ac:dyDescent="0.35">
      <c r="A88" t="s">
        <v>16</v>
      </c>
      <c r="B88" t="s">
        <v>21</v>
      </c>
      <c r="C88" t="s">
        <v>14</v>
      </c>
      <c r="D88" t="s">
        <v>26</v>
      </c>
      <c r="E88">
        <v>51</v>
      </c>
      <c r="F88">
        <v>167</v>
      </c>
      <c r="G88">
        <v>56</v>
      </c>
      <c r="H88">
        <v>20.100000000000001</v>
      </c>
      <c r="I88">
        <v>129</v>
      </c>
      <c r="J88">
        <v>70</v>
      </c>
      <c r="K88">
        <v>85</v>
      </c>
      <c r="L88">
        <v>9</v>
      </c>
    </row>
    <row r="89" spans="1:12" x14ac:dyDescent="0.35">
      <c r="A89" t="s">
        <v>12</v>
      </c>
      <c r="B89" t="s">
        <v>17</v>
      </c>
      <c r="C89" t="s">
        <v>14</v>
      </c>
      <c r="D89" t="s">
        <v>20</v>
      </c>
      <c r="E89">
        <v>28</v>
      </c>
      <c r="F89">
        <v>176</v>
      </c>
      <c r="G89">
        <v>83</v>
      </c>
      <c r="H89">
        <v>26.8</v>
      </c>
      <c r="I89">
        <v>110</v>
      </c>
      <c r="J89">
        <v>77</v>
      </c>
      <c r="K89">
        <v>76</v>
      </c>
      <c r="L89">
        <v>8.1</v>
      </c>
    </row>
    <row r="90" spans="1:12" x14ac:dyDescent="0.35">
      <c r="A90" t="s">
        <v>16</v>
      </c>
      <c r="B90" t="s">
        <v>22</v>
      </c>
      <c r="C90" t="s">
        <v>23</v>
      </c>
      <c r="D90" t="s">
        <v>15</v>
      </c>
      <c r="E90">
        <v>31</v>
      </c>
      <c r="F90">
        <v>173</v>
      </c>
      <c r="G90">
        <v>75</v>
      </c>
      <c r="H90">
        <v>25.1</v>
      </c>
      <c r="I90">
        <v>117</v>
      </c>
      <c r="J90">
        <v>88</v>
      </c>
      <c r="K90">
        <v>77</v>
      </c>
      <c r="L90">
        <v>8.4</v>
      </c>
    </row>
    <row r="91" spans="1:12" x14ac:dyDescent="0.35">
      <c r="A91" t="s">
        <v>16</v>
      </c>
      <c r="B91" t="s">
        <v>13</v>
      </c>
      <c r="C91" t="s">
        <v>14</v>
      </c>
      <c r="D91" t="s">
        <v>18</v>
      </c>
      <c r="E91">
        <v>53</v>
      </c>
      <c r="F91">
        <v>188</v>
      </c>
      <c r="G91">
        <v>69</v>
      </c>
      <c r="H91">
        <v>19.5</v>
      </c>
      <c r="I91">
        <v>132</v>
      </c>
      <c r="J91">
        <v>75</v>
      </c>
      <c r="K91">
        <v>64</v>
      </c>
      <c r="L91">
        <v>7.7</v>
      </c>
    </row>
    <row r="92" spans="1:12" x14ac:dyDescent="0.35">
      <c r="A92" t="s">
        <v>16</v>
      </c>
      <c r="B92" t="s">
        <v>13</v>
      </c>
      <c r="C92" t="s">
        <v>14</v>
      </c>
      <c r="D92" t="s">
        <v>26</v>
      </c>
      <c r="E92">
        <v>55</v>
      </c>
      <c r="F92">
        <v>168</v>
      </c>
      <c r="G92">
        <v>81</v>
      </c>
      <c r="H92">
        <v>28.7</v>
      </c>
      <c r="I92">
        <v>112</v>
      </c>
      <c r="J92">
        <v>72</v>
      </c>
      <c r="K92">
        <v>79</v>
      </c>
      <c r="L92">
        <v>8.3000000000000007</v>
      </c>
    </row>
    <row r="93" spans="1:12" x14ac:dyDescent="0.35">
      <c r="A93" t="s">
        <v>16</v>
      </c>
      <c r="B93" t="s">
        <v>21</v>
      </c>
      <c r="C93" t="s">
        <v>23</v>
      </c>
      <c r="D93" t="s">
        <v>26</v>
      </c>
      <c r="E93">
        <v>49</v>
      </c>
      <c r="F93">
        <v>158</v>
      </c>
      <c r="G93">
        <v>85</v>
      </c>
      <c r="H93">
        <v>34</v>
      </c>
      <c r="I93">
        <v>113</v>
      </c>
      <c r="J93">
        <v>74</v>
      </c>
      <c r="K93">
        <v>79</v>
      </c>
      <c r="L93">
        <v>9.1999999999999993</v>
      </c>
    </row>
    <row r="94" spans="1:12" x14ac:dyDescent="0.35">
      <c r="A94" t="s">
        <v>16</v>
      </c>
      <c r="B94" t="s">
        <v>13</v>
      </c>
      <c r="C94" t="s">
        <v>19</v>
      </c>
      <c r="D94" t="s">
        <v>18</v>
      </c>
      <c r="E94">
        <v>36</v>
      </c>
      <c r="F94">
        <v>181</v>
      </c>
      <c r="G94">
        <v>69</v>
      </c>
      <c r="H94">
        <v>21.1</v>
      </c>
      <c r="I94">
        <v>134</v>
      </c>
      <c r="J94">
        <v>82</v>
      </c>
      <c r="K94">
        <v>68</v>
      </c>
      <c r="L94">
        <v>7.7</v>
      </c>
    </row>
    <row r="95" spans="1:12" x14ac:dyDescent="0.35">
      <c r="A95" t="s">
        <v>16</v>
      </c>
      <c r="B95" t="s">
        <v>24</v>
      </c>
      <c r="C95" t="s">
        <v>14</v>
      </c>
      <c r="D95" t="s">
        <v>15</v>
      </c>
      <c r="E95">
        <v>51</v>
      </c>
      <c r="F95">
        <v>183</v>
      </c>
      <c r="G95">
        <v>77</v>
      </c>
      <c r="H95">
        <v>23</v>
      </c>
      <c r="I95">
        <v>147</v>
      </c>
      <c r="J95">
        <v>84</v>
      </c>
      <c r="K95">
        <v>70</v>
      </c>
      <c r="L95">
        <v>8</v>
      </c>
    </row>
    <row r="96" spans="1:12" x14ac:dyDescent="0.35">
      <c r="A96" t="s">
        <v>16</v>
      </c>
      <c r="B96" t="s">
        <v>22</v>
      </c>
      <c r="C96" t="s">
        <v>19</v>
      </c>
      <c r="D96" t="s">
        <v>18</v>
      </c>
      <c r="E96">
        <v>58</v>
      </c>
      <c r="F96">
        <v>182</v>
      </c>
      <c r="G96">
        <v>78</v>
      </c>
      <c r="H96">
        <v>23.5</v>
      </c>
      <c r="I96">
        <v>124</v>
      </c>
      <c r="J96">
        <v>83</v>
      </c>
      <c r="K96">
        <v>83</v>
      </c>
      <c r="L96">
        <v>8.5</v>
      </c>
    </row>
    <row r="97" spans="1:12" x14ac:dyDescent="0.35">
      <c r="A97" t="s">
        <v>16</v>
      </c>
      <c r="B97" t="s">
        <v>25</v>
      </c>
      <c r="C97" t="s">
        <v>14</v>
      </c>
      <c r="D97" t="s">
        <v>15</v>
      </c>
      <c r="E97">
        <v>50</v>
      </c>
      <c r="F97">
        <v>189</v>
      </c>
      <c r="G97">
        <v>98</v>
      </c>
      <c r="H97">
        <v>27.4</v>
      </c>
      <c r="I97">
        <v>130</v>
      </c>
      <c r="J97">
        <v>92</v>
      </c>
      <c r="K97">
        <v>81</v>
      </c>
      <c r="L97">
        <v>10</v>
      </c>
    </row>
    <row r="98" spans="1:12" x14ac:dyDescent="0.35">
      <c r="A98" t="s">
        <v>16</v>
      </c>
      <c r="B98" t="s">
        <v>13</v>
      </c>
      <c r="C98" t="s">
        <v>14</v>
      </c>
      <c r="D98" t="s">
        <v>26</v>
      </c>
      <c r="E98">
        <v>43</v>
      </c>
      <c r="F98">
        <v>162</v>
      </c>
      <c r="G98">
        <v>67</v>
      </c>
      <c r="H98">
        <v>25.5</v>
      </c>
      <c r="I98">
        <v>144</v>
      </c>
      <c r="J98">
        <v>85</v>
      </c>
      <c r="K98">
        <v>60</v>
      </c>
      <c r="L98">
        <v>9.5</v>
      </c>
    </row>
    <row r="99" spans="1:12" x14ac:dyDescent="0.35">
      <c r="A99" t="s">
        <v>16</v>
      </c>
      <c r="B99" t="s">
        <v>24</v>
      </c>
      <c r="C99" t="s">
        <v>14</v>
      </c>
      <c r="D99" t="s">
        <v>15</v>
      </c>
      <c r="E99">
        <v>25</v>
      </c>
      <c r="F99">
        <v>170</v>
      </c>
      <c r="G99">
        <v>76</v>
      </c>
      <c r="H99">
        <v>26.3</v>
      </c>
      <c r="I99">
        <v>123</v>
      </c>
      <c r="J99">
        <v>87</v>
      </c>
      <c r="K99">
        <v>77</v>
      </c>
      <c r="L99">
        <v>9.3000000000000007</v>
      </c>
    </row>
    <row r="100" spans="1:12" x14ac:dyDescent="0.35">
      <c r="A100" t="s">
        <v>16</v>
      </c>
      <c r="B100" t="s">
        <v>25</v>
      </c>
      <c r="C100" t="s">
        <v>19</v>
      </c>
      <c r="D100" t="s">
        <v>20</v>
      </c>
      <c r="E100">
        <v>41</v>
      </c>
      <c r="F100">
        <v>184</v>
      </c>
      <c r="G100">
        <v>97</v>
      </c>
      <c r="H100">
        <v>28.7</v>
      </c>
      <c r="I100">
        <v>145</v>
      </c>
      <c r="J100">
        <v>91</v>
      </c>
      <c r="K100">
        <v>65</v>
      </c>
      <c r="L100">
        <v>7.8</v>
      </c>
    </row>
    <row r="101" spans="1:12" x14ac:dyDescent="0.35">
      <c r="A101" t="s">
        <v>12</v>
      </c>
      <c r="B101" t="s">
        <v>22</v>
      </c>
      <c r="C101" t="s">
        <v>14</v>
      </c>
      <c r="D101" t="s">
        <v>26</v>
      </c>
      <c r="E101">
        <v>53</v>
      </c>
      <c r="F101">
        <v>172</v>
      </c>
      <c r="G101">
        <v>91</v>
      </c>
      <c r="H101">
        <v>30.8</v>
      </c>
      <c r="I101">
        <v>121</v>
      </c>
      <c r="J101">
        <v>91</v>
      </c>
      <c r="K101">
        <v>86</v>
      </c>
      <c r="L101">
        <v>9.5</v>
      </c>
    </row>
    <row r="102" spans="1:12" x14ac:dyDescent="0.35">
      <c r="A102" t="s">
        <v>12</v>
      </c>
      <c r="B102" t="s">
        <v>25</v>
      </c>
      <c r="C102" t="s">
        <v>14</v>
      </c>
      <c r="D102" t="s">
        <v>20</v>
      </c>
      <c r="E102">
        <v>57</v>
      </c>
      <c r="F102">
        <v>156</v>
      </c>
      <c r="G102">
        <v>87</v>
      </c>
      <c r="H102">
        <v>35.700000000000003</v>
      </c>
      <c r="I102">
        <v>126</v>
      </c>
      <c r="J102">
        <v>80</v>
      </c>
      <c r="K102">
        <v>61</v>
      </c>
      <c r="L102">
        <v>9.5</v>
      </c>
    </row>
    <row r="103" spans="1:12" x14ac:dyDescent="0.35">
      <c r="A103" t="s">
        <v>16</v>
      </c>
      <c r="B103" t="s">
        <v>24</v>
      </c>
      <c r="C103" t="s">
        <v>14</v>
      </c>
      <c r="D103" t="s">
        <v>18</v>
      </c>
      <c r="E103">
        <v>25</v>
      </c>
      <c r="F103">
        <v>167</v>
      </c>
      <c r="G103">
        <v>57</v>
      </c>
      <c r="H103">
        <v>20.399999999999999</v>
      </c>
      <c r="I103">
        <v>148</v>
      </c>
      <c r="J103">
        <v>72</v>
      </c>
      <c r="K103">
        <v>74</v>
      </c>
      <c r="L103">
        <v>9</v>
      </c>
    </row>
    <row r="104" spans="1:12" x14ac:dyDescent="0.35">
      <c r="A104" t="s">
        <v>16</v>
      </c>
      <c r="B104" t="s">
        <v>17</v>
      </c>
      <c r="C104" t="s">
        <v>14</v>
      </c>
      <c r="D104" t="s">
        <v>18</v>
      </c>
      <c r="E104">
        <v>48</v>
      </c>
      <c r="F104">
        <v>158</v>
      </c>
      <c r="G104">
        <v>73</v>
      </c>
      <c r="H104">
        <v>29.2</v>
      </c>
      <c r="I104">
        <v>118</v>
      </c>
      <c r="J104">
        <v>91</v>
      </c>
      <c r="K104">
        <v>88</v>
      </c>
      <c r="L104">
        <v>10</v>
      </c>
    </row>
    <row r="105" spans="1:12" x14ac:dyDescent="0.35">
      <c r="A105" t="s">
        <v>16</v>
      </c>
      <c r="B105" t="s">
        <v>17</v>
      </c>
      <c r="C105" t="s">
        <v>14</v>
      </c>
      <c r="D105" t="s">
        <v>18</v>
      </c>
      <c r="E105">
        <v>38</v>
      </c>
      <c r="F105">
        <v>180</v>
      </c>
      <c r="G105">
        <v>77</v>
      </c>
      <c r="H105">
        <v>23.8</v>
      </c>
      <c r="I105">
        <v>144</v>
      </c>
      <c r="J105">
        <v>79</v>
      </c>
      <c r="K105">
        <v>85</v>
      </c>
      <c r="L105">
        <v>8.3000000000000007</v>
      </c>
    </row>
    <row r="106" spans="1:12" x14ac:dyDescent="0.35">
      <c r="A106" t="s">
        <v>16</v>
      </c>
      <c r="B106" t="s">
        <v>25</v>
      </c>
      <c r="C106" t="s">
        <v>14</v>
      </c>
      <c r="D106" t="s">
        <v>15</v>
      </c>
      <c r="E106">
        <v>33</v>
      </c>
      <c r="F106">
        <v>179</v>
      </c>
      <c r="G106">
        <v>83</v>
      </c>
      <c r="H106">
        <v>25.9</v>
      </c>
      <c r="I106">
        <v>122</v>
      </c>
      <c r="J106">
        <v>79</v>
      </c>
      <c r="K106">
        <v>80</v>
      </c>
      <c r="L106">
        <v>9.9</v>
      </c>
    </row>
    <row r="107" spans="1:12" x14ac:dyDescent="0.35">
      <c r="A107" t="s">
        <v>16</v>
      </c>
      <c r="B107" t="s">
        <v>21</v>
      </c>
      <c r="C107" t="s">
        <v>14</v>
      </c>
      <c r="D107" t="s">
        <v>26</v>
      </c>
      <c r="E107">
        <v>43</v>
      </c>
      <c r="F107">
        <v>184</v>
      </c>
      <c r="G107">
        <v>84</v>
      </c>
      <c r="H107">
        <v>24.8</v>
      </c>
      <c r="I107">
        <v>124</v>
      </c>
      <c r="J107">
        <v>90</v>
      </c>
      <c r="K107">
        <v>73</v>
      </c>
      <c r="L107">
        <v>9.8000000000000007</v>
      </c>
    </row>
    <row r="108" spans="1:12" x14ac:dyDescent="0.35">
      <c r="A108" t="s">
        <v>16</v>
      </c>
      <c r="B108" t="s">
        <v>25</v>
      </c>
      <c r="C108" t="s">
        <v>14</v>
      </c>
      <c r="D108" t="s">
        <v>18</v>
      </c>
      <c r="E108">
        <v>38</v>
      </c>
      <c r="F108">
        <v>165</v>
      </c>
      <c r="G108">
        <v>93</v>
      </c>
      <c r="H108">
        <v>34.200000000000003</v>
      </c>
      <c r="I108">
        <v>127</v>
      </c>
      <c r="J108">
        <v>85</v>
      </c>
      <c r="K108">
        <v>64</v>
      </c>
      <c r="L108">
        <v>7.5</v>
      </c>
    </row>
    <row r="109" spans="1:12" x14ac:dyDescent="0.35">
      <c r="A109" t="s">
        <v>16</v>
      </c>
      <c r="B109" t="s">
        <v>13</v>
      </c>
      <c r="C109" t="s">
        <v>14</v>
      </c>
      <c r="D109" t="s">
        <v>18</v>
      </c>
      <c r="E109">
        <v>31</v>
      </c>
      <c r="F109">
        <v>161</v>
      </c>
      <c r="G109">
        <v>98</v>
      </c>
      <c r="H109">
        <v>37.799999999999997</v>
      </c>
      <c r="I109">
        <v>142</v>
      </c>
      <c r="J109">
        <v>81</v>
      </c>
      <c r="K109">
        <v>65</v>
      </c>
      <c r="L109">
        <v>8.6</v>
      </c>
    </row>
    <row r="110" spans="1:12" x14ac:dyDescent="0.35">
      <c r="A110" t="s">
        <v>16</v>
      </c>
      <c r="B110" t="s">
        <v>13</v>
      </c>
      <c r="C110" t="s">
        <v>14</v>
      </c>
      <c r="D110" t="s">
        <v>26</v>
      </c>
      <c r="E110">
        <v>22</v>
      </c>
      <c r="F110">
        <v>185</v>
      </c>
      <c r="G110">
        <v>79</v>
      </c>
      <c r="H110">
        <v>23.1</v>
      </c>
      <c r="I110">
        <v>115</v>
      </c>
      <c r="J110">
        <v>71</v>
      </c>
      <c r="K110">
        <v>65</v>
      </c>
      <c r="L110">
        <v>9.9</v>
      </c>
    </row>
    <row r="111" spans="1:12" x14ac:dyDescent="0.35">
      <c r="A111" t="s">
        <v>12</v>
      </c>
      <c r="B111" t="s">
        <v>17</v>
      </c>
      <c r="C111" t="s">
        <v>14</v>
      </c>
      <c r="D111" t="s">
        <v>18</v>
      </c>
      <c r="E111">
        <v>43</v>
      </c>
      <c r="F111">
        <v>164</v>
      </c>
      <c r="G111">
        <v>91</v>
      </c>
      <c r="H111">
        <v>33.799999999999997</v>
      </c>
      <c r="I111">
        <v>136</v>
      </c>
      <c r="J111">
        <v>78</v>
      </c>
      <c r="K111">
        <v>89</v>
      </c>
      <c r="L111">
        <v>7.8</v>
      </c>
    </row>
    <row r="112" spans="1:12" x14ac:dyDescent="0.35">
      <c r="A112" t="s">
        <v>16</v>
      </c>
      <c r="B112" t="s">
        <v>21</v>
      </c>
      <c r="C112" t="s">
        <v>14</v>
      </c>
      <c r="D112" t="s">
        <v>20</v>
      </c>
      <c r="E112">
        <v>47</v>
      </c>
      <c r="F112">
        <v>167</v>
      </c>
      <c r="G112">
        <v>62</v>
      </c>
      <c r="H112">
        <v>22.2</v>
      </c>
      <c r="I112">
        <v>132</v>
      </c>
      <c r="J112">
        <v>93</v>
      </c>
      <c r="K112">
        <v>81</v>
      </c>
      <c r="L112">
        <v>8.9</v>
      </c>
    </row>
    <row r="113" spans="1:12" x14ac:dyDescent="0.35">
      <c r="A113" t="s">
        <v>12</v>
      </c>
      <c r="B113" t="s">
        <v>24</v>
      </c>
      <c r="C113" t="s">
        <v>23</v>
      </c>
      <c r="D113" t="s">
        <v>26</v>
      </c>
      <c r="E113">
        <v>39</v>
      </c>
      <c r="F113">
        <v>185</v>
      </c>
      <c r="G113">
        <v>96</v>
      </c>
      <c r="H113">
        <v>28</v>
      </c>
      <c r="I113">
        <v>136</v>
      </c>
      <c r="J113">
        <v>72</v>
      </c>
      <c r="K113">
        <v>89</v>
      </c>
      <c r="L113">
        <v>9.9</v>
      </c>
    </row>
    <row r="114" spans="1:12" x14ac:dyDescent="0.35">
      <c r="A114" t="s">
        <v>16</v>
      </c>
      <c r="B114" t="s">
        <v>13</v>
      </c>
      <c r="C114" t="s">
        <v>14</v>
      </c>
      <c r="D114" t="s">
        <v>26</v>
      </c>
      <c r="E114">
        <v>35</v>
      </c>
      <c r="F114">
        <v>161</v>
      </c>
      <c r="G114">
        <v>70</v>
      </c>
      <c r="H114">
        <v>27</v>
      </c>
      <c r="I114">
        <v>143</v>
      </c>
      <c r="J114">
        <v>93</v>
      </c>
      <c r="K114">
        <v>77</v>
      </c>
      <c r="L114">
        <v>8.9</v>
      </c>
    </row>
    <row r="115" spans="1:12" x14ac:dyDescent="0.35">
      <c r="A115" t="s">
        <v>16</v>
      </c>
      <c r="B115" t="s">
        <v>17</v>
      </c>
      <c r="C115" t="s">
        <v>14</v>
      </c>
      <c r="D115" t="s">
        <v>26</v>
      </c>
      <c r="E115">
        <v>50</v>
      </c>
      <c r="F115">
        <v>174</v>
      </c>
      <c r="G115">
        <v>62</v>
      </c>
      <c r="H115">
        <v>20.5</v>
      </c>
      <c r="I115">
        <v>147</v>
      </c>
      <c r="J115">
        <v>94</v>
      </c>
      <c r="K115">
        <v>73</v>
      </c>
      <c r="L115">
        <v>8</v>
      </c>
    </row>
    <row r="116" spans="1:12" x14ac:dyDescent="0.35">
      <c r="A116" t="s">
        <v>12</v>
      </c>
      <c r="B116" t="s">
        <v>22</v>
      </c>
      <c r="C116" t="s">
        <v>14</v>
      </c>
      <c r="D116" t="s">
        <v>20</v>
      </c>
      <c r="E116">
        <v>33</v>
      </c>
      <c r="F116">
        <v>158</v>
      </c>
      <c r="G116">
        <v>55</v>
      </c>
      <c r="H116">
        <v>22</v>
      </c>
      <c r="I116">
        <v>123</v>
      </c>
      <c r="J116">
        <v>84</v>
      </c>
      <c r="K116">
        <v>69</v>
      </c>
      <c r="L116">
        <v>9</v>
      </c>
    </row>
    <row r="117" spans="1:12" x14ac:dyDescent="0.35">
      <c r="A117" t="s">
        <v>16</v>
      </c>
      <c r="B117" t="s">
        <v>17</v>
      </c>
      <c r="C117" t="s">
        <v>14</v>
      </c>
      <c r="D117" t="s">
        <v>26</v>
      </c>
      <c r="E117">
        <v>57</v>
      </c>
      <c r="F117">
        <v>161</v>
      </c>
      <c r="G117">
        <v>98</v>
      </c>
      <c r="H117">
        <v>37.799999999999997</v>
      </c>
      <c r="I117">
        <v>145</v>
      </c>
      <c r="J117">
        <v>72</v>
      </c>
      <c r="K117">
        <v>73</v>
      </c>
      <c r="L117">
        <v>8</v>
      </c>
    </row>
    <row r="118" spans="1:12" x14ac:dyDescent="0.35">
      <c r="A118" t="s">
        <v>12</v>
      </c>
      <c r="B118" t="s">
        <v>13</v>
      </c>
      <c r="C118" t="s">
        <v>14</v>
      </c>
      <c r="D118" t="s">
        <v>20</v>
      </c>
      <c r="E118">
        <v>56</v>
      </c>
      <c r="F118">
        <v>155</v>
      </c>
      <c r="G118">
        <v>59</v>
      </c>
      <c r="H118">
        <v>24.6</v>
      </c>
      <c r="I118">
        <v>117</v>
      </c>
      <c r="J118">
        <v>88</v>
      </c>
      <c r="K118">
        <v>72</v>
      </c>
      <c r="L118">
        <v>8.8000000000000007</v>
      </c>
    </row>
    <row r="119" spans="1:12" x14ac:dyDescent="0.35">
      <c r="A119" t="s">
        <v>16</v>
      </c>
      <c r="B119" t="s">
        <v>13</v>
      </c>
      <c r="C119" t="s">
        <v>14</v>
      </c>
      <c r="D119" t="s">
        <v>26</v>
      </c>
      <c r="E119">
        <v>33</v>
      </c>
      <c r="F119">
        <v>167</v>
      </c>
      <c r="G119">
        <v>57</v>
      </c>
      <c r="H119">
        <v>20.399999999999999</v>
      </c>
      <c r="I119">
        <v>144</v>
      </c>
      <c r="J119">
        <v>87</v>
      </c>
      <c r="K119">
        <v>89</v>
      </c>
      <c r="L119">
        <v>7.7</v>
      </c>
    </row>
    <row r="120" spans="1:12" x14ac:dyDescent="0.35">
      <c r="A120" t="s">
        <v>16</v>
      </c>
      <c r="B120" t="s">
        <v>17</v>
      </c>
      <c r="C120" t="s">
        <v>14</v>
      </c>
      <c r="D120" t="s">
        <v>15</v>
      </c>
      <c r="E120">
        <v>28</v>
      </c>
      <c r="F120">
        <v>176</v>
      </c>
      <c r="G120">
        <v>55</v>
      </c>
      <c r="H120">
        <v>17.8</v>
      </c>
      <c r="I120">
        <v>128</v>
      </c>
      <c r="J120">
        <v>77</v>
      </c>
      <c r="K120">
        <v>62</v>
      </c>
      <c r="L120">
        <v>9</v>
      </c>
    </row>
    <row r="121" spans="1:12" x14ac:dyDescent="0.35">
      <c r="A121" t="s">
        <v>12</v>
      </c>
      <c r="B121" t="s">
        <v>24</v>
      </c>
      <c r="C121" t="s">
        <v>14</v>
      </c>
      <c r="D121" t="s">
        <v>18</v>
      </c>
      <c r="E121">
        <v>50</v>
      </c>
      <c r="F121">
        <v>175</v>
      </c>
      <c r="G121">
        <v>58</v>
      </c>
      <c r="H121">
        <v>18.899999999999999</v>
      </c>
      <c r="I121">
        <v>139</v>
      </c>
      <c r="J121">
        <v>86</v>
      </c>
      <c r="K121">
        <v>89</v>
      </c>
      <c r="L121">
        <v>8.8000000000000007</v>
      </c>
    </row>
    <row r="122" spans="1:12" x14ac:dyDescent="0.35">
      <c r="A122" t="s">
        <v>16</v>
      </c>
      <c r="B122" t="s">
        <v>25</v>
      </c>
      <c r="C122" t="s">
        <v>14</v>
      </c>
      <c r="D122" t="s">
        <v>15</v>
      </c>
      <c r="E122">
        <v>32</v>
      </c>
      <c r="F122">
        <v>176</v>
      </c>
      <c r="G122">
        <v>94</v>
      </c>
      <c r="H122">
        <v>30.3</v>
      </c>
      <c r="I122">
        <v>123</v>
      </c>
      <c r="J122">
        <v>77</v>
      </c>
      <c r="K122">
        <v>65</v>
      </c>
      <c r="L122">
        <v>9.4</v>
      </c>
    </row>
    <row r="123" spans="1:12" x14ac:dyDescent="0.35">
      <c r="A123" t="s">
        <v>12</v>
      </c>
      <c r="B123" t="s">
        <v>13</v>
      </c>
      <c r="C123" t="s">
        <v>14</v>
      </c>
      <c r="D123" t="s">
        <v>18</v>
      </c>
      <c r="E123">
        <v>54</v>
      </c>
      <c r="F123">
        <v>182</v>
      </c>
      <c r="G123">
        <v>89</v>
      </c>
      <c r="H123">
        <v>26.9</v>
      </c>
      <c r="I123">
        <v>129</v>
      </c>
      <c r="J123">
        <v>76</v>
      </c>
      <c r="K123">
        <v>88</v>
      </c>
      <c r="L123">
        <v>9.1</v>
      </c>
    </row>
    <row r="124" spans="1:12" x14ac:dyDescent="0.35">
      <c r="A124" t="s">
        <v>16</v>
      </c>
      <c r="B124" t="s">
        <v>17</v>
      </c>
      <c r="C124" t="s">
        <v>14</v>
      </c>
      <c r="D124" t="s">
        <v>20</v>
      </c>
      <c r="E124">
        <v>27</v>
      </c>
      <c r="F124">
        <v>163</v>
      </c>
      <c r="G124">
        <v>86</v>
      </c>
      <c r="H124">
        <v>32.4</v>
      </c>
      <c r="I124">
        <v>134</v>
      </c>
      <c r="J124">
        <v>76</v>
      </c>
      <c r="K124">
        <v>67</v>
      </c>
      <c r="L124">
        <v>8.9</v>
      </c>
    </row>
    <row r="125" spans="1:12" x14ac:dyDescent="0.35">
      <c r="A125" t="s">
        <v>12</v>
      </c>
      <c r="B125" t="s">
        <v>17</v>
      </c>
      <c r="C125" t="s">
        <v>14</v>
      </c>
      <c r="D125" t="s">
        <v>15</v>
      </c>
      <c r="E125">
        <v>36</v>
      </c>
      <c r="F125">
        <v>180</v>
      </c>
      <c r="G125">
        <v>96</v>
      </c>
      <c r="H125">
        <v>29.6</v>
      </c>
      <c r="I125">
        <v>149</v>
      </c>
      <c r="J125">
        <v>72</v>
      </c>
      <c r="K125">
        <v>71</v>
      </c>
      <c r="L125">
        <v>9.1999999999999993</v>
      </c>
    </row>
    <row r="126" spans="1:12" x14ac:dyDescent="0.35">
      <c r="A126" t="s">
        <v>12</v>
      </c>
      <c r="B126" t="s">
        <v>21</v>
      </c>
      <c r="C126" t="s">
        <v>14</v>
      </c>
      <c r="D126" t="s">
        <v>26</v>
      </c>
      <c r="E126">
        <v>53</v>
      </c>
      <c r="F126">
        <v>163</v>
      </c>
      <c r="G126">
        <v>88</v>
      </c>
      <c r="H126">
        <v>33.1</v>
      </c>
      <c r="I126">
        <v>133</v>
      </c>
      <c r="J126">
        <v>70</v>
      </c>
      <c r="K126">
        <v>72</v>
      </c>
      <c r="L126">
        <v>7.9</v>
      </c>
    </row>
    <row r="127" spans="1:12" x14ac:dyDescent="0.35">
      <c r="A127" t="s">
        <v>16</v>
      </c>
      <c r="B127" t="s">
        <v>25</v>
      </c>
      <c r="C127" t="s">
        <v>14</v>
      </c>
      <c r="D127" t="s">
        <v>18</v>
      </c>
      <c r="E127">
        <v>32</v>
      </c>
      <c r="F127">
        <v>169</v>
      </c>
      <c r="G127">
        <v>97</v>
      </c>
      <c r="H127">
        <v>34</v>
      </c>
      <c r="I127">
        <v>123</v>
      </c>
      <c r="J127">
        <v>73</v>
      </c>
      <c r="K127">
        <v>70</v>
      </c>
      <c r="L127">
        <v>9</v>
      </c>
    </row>
    <row r="128" spans="1:12" x14ac:dyDescent="0.35">
      <c r="A128" t="s">
        <v>16</v>
      </c>
      <c r="B128" t="s">
        <v>22</v>
      </c>
      <c r="C128" t="s">
        <v>14</v>
      </c>
      <c r="D128" t="s">
        <v>18</v>
      </c>
      <c r="E128">
        <v>44</v>
      </c>
      <c r="F128">
        <v>164</v>
      </c>
      <c r="G128">
        <v>79</v>
      </c>
      <c r="H128">
        <v>29.4</v>
      </c>
      <c r="I128">
        <v>135</v>
      </c>
      <c r="J128">
        <v>94</v>
      </c>
      <c r="K128">
        <v>71</v>
      </c>
      <c r="L128">
        <v>7.9</v>
      </c>
    </row>
    <row r="129" spans="1:12" x14ac:dyDescent="0.35">
      <c r="A129" t="s">
        <v>12</v>
      </c>
      <c r="B129" t="s">
        <v>24</v>
      </c>
      <c r="C129" t="s">
        <v>14</v>
      </c>
      <c r="D129" t="s">
        <v>15</v>
      </c>
      <c r="E129">
        <v>47</v>
      </c>
      <c r="F129">
        <v>178</v>
      </c>
      <c r="G129">
        <v>64</v>
      </c>
      <c r="H129">
        <v>20.2</v>
      </c>
      <c r="I129">
        <v>147</v>
      </c>
      <c r="J129">
        <v>74</v>
      </c>
      <c r="K129">
        <v>60</v>
      </c>
      <c r="L129">
        <v>9.8000000000000007</v>
      </c>
    </row>
    <row r="130" spans="1:12" x14ac:dyDescent="0.35">
      <c r="A130" t="s">
        <v>16</v>
      </c>
      <c r="B130" t="s">
        <v>22</v>
      </c>
      <c r="C130" t="s">
        <v>23</v>
      </c>
      <c r="D130" t="s">
        <v>20</v>
      </c>
      <c r="E130">
        <v>55</v>
      </c>
      <c r="F130">
        <v>162</v>
      </c>
      <c r="G130">
        <v>75</v>
      </c>
      <c r="H130">
        <v>28.6</v>
      </c>
      <c r="I130">
        <v>132</v>
      </c>
      <c r="J130">
        <v>70</v>
      </c>
      <c r="K130">
        <v>76</v>
      </c>
      <c r="L130">
        <v>7.7</v>
      </c>
    </row>
    <row r="131" spans="1:12" x14ac:dyDescent="0.35">
      <c r="A131" t="s">
        <v>16</v>
      </c>
      <c r="B131" t="s">
        <v>25</v>
      </c>
      <c r="C131" t="s">
        <v>14</v>
      </c>
      <c r="D131" t="s">
        <v>15</v>
      </c>
      <c r="E131">
        <v>55</v>
      </c>
      <c r="F131">
        <v>178</v>
      </c>
      <c r="G131">
        <v>93</v>
      </c>
      <c r="H131">
        <v>29.4</v>
      </c>
      <c r="I131">
        <v>131</v>
      </c>
      <c r="J131">
        <v>84</v>
      </c>
      <c r="K131">
        <v>75</v>
      </c>
      <c r="L131">
        <v>8.6</v>
      </c>
    </row>
    <row r="132" spans="1:12" x14ac:dyDescent="0.35">
      <c r="A132" t="s">
        <v>16</v>
      </c>
      <c r="B132" t="s">
        <v>25</v>
      </c>
      <c r="C132" t="s">
        <v>14</v>
      </c>
      <c r="D132" t="s">
        <v>20</v>
      </c>
      <c r="E132">
        <v>50</v>
      </c>
      <c r="F132">
        <v>170</v>
      </c>
      <c r="G132">
        <v>81</v>
      </c>
      <c r="H132">
        <v>28</v>
      </c>
      <c r="I132">
        <v>128</v>
      </c>
      <c r="J132">
        <v>74</v>
      </c>
      <c r="K132">
        <v>70</v>
      </c>
      <c r="L132">
        <v>9.1999999999999993</v>
      </c>
    </row>
    <row r="133" spans="1:12" x14ac:dyDescent="0.35">
      <c r="A133" t="s">
        <v>12</v>
      </c>
      <c r="B133" t="s">
        <v>25</v>
      </c>
      <c r="C133" t="s">
        <v>23</v>
      </c>
      <c r="D133" t="s">
        <v>20</v>
      </c>
      <c r="E133">
        <v>25</v>
      </c>
      <c r="F133">
        <v>180</v>
      </c>
      <c r="G133">
        <v>81</v>
      </c>
      <c r="H133">
        <v>25</v>
      </c>
      <c r="I133">
        <v>112</v>
      </c>
      <c r="J133">
        <v>82</v>
      </c>
      <c r="K133">
        <v>72</v>
      </c>
      <c r="L133">
        <v>8.6</v>
      </c>
    </row>
    <row r="134" spans="1:12" x14ac:dyDescent="0.35">
      <c r="A134" t="s">
        <v>12</v>
      </c>
      <c r="B134" t="s">
        <v>22</v>
      </c>
      <c r="C134" t="s">
        <v>19</v>
      </c>
      <c r="D134" t="s">
        <v>18</v>
      </c>
      <c r="E134">
        <v>38</v>
      </c>
      <c r="F134">
        <v>181</v>
      </c>
      <c r="G134">
        <v>56</v>
      </c>
      <c r="H134">
        <v>17.100000000000001</v>
      </c>
      <c r="I134">
        <v>128</v>
      </c>
      <c r="J134">
        <v>77</v>
      </c>
      <c r="K134">
        <v>77</v>
      </c>
      <c r="L134">
        <v>7.7</v>
      </c>
    </row>
    <row r="135" spans="1:12" x14ac:dyDescent="0.35">
      <c r="A135" t="s">
        <v>12</v>
      </c>
      <c r="B135" t="s">
        <v>25</v>
      </c>
      <c r="C135" t="s">
        <v>14</v>
      </c>
      <c r="D135" t="s">
        <v>15</v>
      </c>
      <c r="E135">
        <v>56</v>
      </c>
      <c r="F135">
        <v>158</v>
      </c>
      <c r="G135">
        <v>95</v>
      </c>
      <c r="H135">
        <v>38.1</v>
      </c>
      <c r="I135">
        <v>118</v>
      </c>
      <c r="J135">
        <v>77</v>
      </c>
      <c r="K135">
        <v>70</v>
      </c>
      <c r="L135">
        <v>8.9</v>
      </c>
    </row>
    <row r="136" spans="1:12" x14ac:dyDescent="0.35">
      <c r="A136" t="s">
        <v>12</v>
      </c>
      <c r="B136" t="s">
        <v>17</v>
      </c>
      <c r="C136" t="s">
        <v>14</v>
      </c>
      <c r="D136" t="s">
        <v>15</v>
      </c>
      <c r="E136">
        <v>34</v>
      </c>
      <c r="F136">
        <v>178</v>
      </c>
      <c r="G136">
        <v>67</v>
      </c>
      <c r="H136">
        <v>21.1</v>
      </c>
      <c r="I136">
        <v>137</v>
      </c>
      <c r="J136">
        <v>74</v>
      </c>
      <c r="K136">
        <v>87</v>
      </c>
      <c r="L136">
        <v>9.1</v>
      </c>
    </row>
    <row r="137" spans="1:12" x14ac:dyDescent="0.35">
      <c r="A137" t="s">
        <v>12</v>
      </c>
      <c r="B137" t="s">
        <v>22</v>
      </c>
      <c r="C137" t="s">
        <v>23</v>
      </c>
      <c r="D137" t="s">
        <v>20</v>
      </c>
      <c r="E137">
        <v>36</v>
      </c>
      <c r="F137">
        <v>173</v>
      </c>
      <c r="G137">
        <v>63</v>
      </c>
      <c r="H137">
        <v>21</v>
      </c>
      <c r="I137">
        <v>129</v>
      </c>
      <c r="J137">
        <v>78</v>
      </c>
      <c r="K137">
        <v>71</v>
      </c>
      <c r="L137">
        <v>9.3000000000000007</v>
      </c>
    </row>
    <row r="138" spans="1:12" x14ac:dyDescent="0.35">
      <c r="A138" t="s">
        <v>12</v>
      </c>
      <c r="B138" t="s">
        <v>25</v>
      </c>
      <c r="C138" t="s">
        <v>23</v>
      </c>
      <c r="D138" t="s">
        <v>15</v>
      </c>
      <c r="E138">
        <v>50</v>
      </c>
      <c r="F138">
        <v>164</v>
      </c>
      <c r="G138">
        <v>90</v>
      </c>
      <c r="H138">
        <v>33.5</v>
      </c>
      <c r="I138">
        <v>116</v>
      </c>
      <c r="J138">
        <v>70</v>
      </c>
      <c r="K138">
        <v>65</v>
      </c>
      <c r="L138">
        <v>8.4</v>
      </c>
    </row>
    <row r="139" spans="1:12" x14ac:dyDescent="0.35">
      <c r="A139" t="s">
        <v>12</v>
      </c>
      <c r="B139" t="s">
        <v>17</v>
      </c>
      <c r="C139" t="s">
        <v>14</v>
      </c>
      <c r="D139" t="s">
        <v>26</v>
      </c>
      <c r="E139">
        <v>50</v>
      </c>
      <c r="F139">
        <v>179</v>
      </c>
      <c r="G139">
        <v>76</v>
      </c>
      <c r="H139">
        <v>23.7</v>
      </c>
      <c r="I139">
        <v>123</v>
      </c>
      <c r="J139">
        <v>73</v>
      </c>
      <c r="K139">
        <v>68</v>
      </c>
      <c r="L139">
        <v>8.9</v>
      </c>
    </row>
    <row r="140" spans="1:12" x14ac:dyDescent="0.35">
      <c r="A140" t="s">
        <v>12</v>
      </c>
      <c r="B140" t="s">
        <v>21</v>
      </c>
      <c r="C140" t="s">
        <v>14</v>
      </c>
      <c r="D140" t="s">
        <v>26</v>
      </c>
      <c r="E140">
        <v>32</v>
      </c>
      <c r="F140">
        <v>172</v>
      </c>
      <c r="G140">
        <v>96</v>
      </c>
      <c r="H140">
        <v>32.4</v>
      </c>
      <c r="I140">
        <v>118</v>
      </c>
      <c r="J140">
        <v>72</v>
      </c>
      <c r="K140">
        <v>75</v>
      </c>
      <c r="L140">
        <v>8.6</v>
      </c>
    </row>
    <row r="141" spans="1:12" x14ac:dyDescent="0.35">
      <c r="A141" t="s">
        <v>12</v>
      </c>
      <c r="B141" t="s">
        <v>25</v>
      </c>
      <c r="C141" t="s">
        <v>14</v>
      </c>
      <c r="D141" t="s">
        <v>15</v>
      </c>
      <c r="E141">
        <v>53</v>
      </c>
      <c r="F141">
        <v>173</v>
      </c>
      <c r="G141">
        <v>80</v>
      </c>
      <c r="H141">
        <v>26.7</v>
      </c>
      <c r="I141">
        <v>128</v>
      </c>
      <c r="J141">
        <v>71</v>
      </c>
      <c r="K141">
        <v>63</v>
      </c>
      <c r="L141">
        <v>9.1999999999999993</v>
      </c>
    </row>
    <row r="142" spans="1:12" x14ac:dyDescent="0.35">
      <c r="A142" t="s">
        <v>16</v>
      </c>
      <c r="B142" t="s">
        <v>22</v>
      </c>
      <c r="C142" t="s">
        <v>14</v>
      </c>
      <c r="D142" t="s">
        <v>15</v>
      </c>
      <c r="E142">
        <v>23</v>
      </c>
      <c r="F142">
        <v>164</v>
      </c>
      <c r="G142">
        <v>66</v>
      </c>
      <c r="H142">
        <v>24.5</v>
      </c>
      <c r="I142">
        <v>123</v>
      </c>
      <c r="J142">
        <v>77</v>
      </c>
      <c r="K142">
        <v>62</v>
      </c>
      <c r="L142">
        <v>9</v>
      </c>
    </row>
    <row r="143" spans="1:12" x14ac:dyDescent="0.35">
      <c r="A143" t="s">
        <v>12</v>
      </c>
      <c r="B143" t="s">
        <v>13</v>
      </c>
      <c r="C143" t="s">
        <v>14</v>
      </c>
      <c r="D143" t="s">
        <v>20</v>
      </c>
      <c r="E143">
        <v>35</v>
      </c>
      <c r="F143">
        <v>187</v>
      </c>
      <c r="G143">
        <v>71</v>
      </c>
      <c r="H143">
        <v>20.3</v>
      </c>
      <c r="I143">
        <v>147</v>
      </c>
      <c r="J143">
        <v>92</v>
      </c>
      <c r="K143">
        <v>87</v>
      </c>
      <c r="L143">
        <v>8.8000000000000007</v>
      </c>
    </row>
    <row r="144" spans="1:12" x14ac:dyDescent="0.35">
      <c r="A144" t="s">
        <v>16</v>
      </c>
      <c r="B144" t="s">
        <v>25</v>
      </c>
      <c r="C144" t="s">
        <v>14</v>
      </c>
      <c r="D144" t="s">
        <v>26</v>
      </c>
      <c r="E144">
        <v>41</v>
      </c>
      <c r="F144">
        <v>159</v>
      </c>
      <c r="G144">
        <v>68</v>
      </c>
      <c r="H144">
        <v>26.9</v>
      </c>
      <c r="I144">
        <v>145</v>
      </c>
      <c r="J144">
        <v>78</v>
      </c>
      <c r="K144">
        <v>75</v>
      </c>
      <c r="L144">
        <v>8.1</v>
      </c>
    </row>
    <row r="145" spans="1:12" x14ac:dyDescent="0.35">
      <c r="A145" t="s">
        <v>16</v>
      </c>
      <c r="B145" t="s">
        <v>13</v>
      </c>
      <c r="C145" t="s">
        <v>14</v>
      </c>
      <c r="D145" t="s">
        <v>26</v>
      </c>
      <c r="E145">
        <v>43</v>
      </c>
      <c r="F145">
        <v>189</v>
      </c>
      <c r="G145">
        <v>68</v>
      </c>
      <c r="H145">
        <v>19</v>
      </c>
      <c r="I145">
        <v>149</v>
      </c>
      <c r="J145">
        <v>71</v>
      </c>
      <c r="K145">
        <v>83</v>
      </c>
      <c r="L145">
        <v>7.5</v>
      </c>
    </row>
    <row r="146" spans="1:12" x14ac:dyDescent="0.35">
      <c r="A146" t="s">
        <v>16</v>
      </c>
      <c r="B146" t="s">
        <v>17</v>
      </c>
      <c r="C146" t="s">
        <v>23</v>
      </c>
      <c r="D146" t="s">
        <v>18</v>
      </c>
      <c r="E146">
        <v>32</v>
      </c>
      <c r="F146">
        <v>188</v>
      </c>
      <c r="G146">
        <v>88</v>
      </c>
      <c r="H146">
        <v>24.9</v>
      </c>
      <c r="I146">
        <v>126</v>
      </c>
      <c r="J146">
        <v>83</v>
      </c>
      <c r="K146">
        <v>86</v>
      </c>
      <c r="L146">
        <v>7.9</v>
      </c>
    </row>
    <row r="147" spans="1:12" x14ac:dyDescent="0.35">
      <c r="A147" t="s">
        <v>12</v>
      </c>
      <c r="B147" t="s">
        <v>21</v>
      </c>
      <c r="C147" t="s">
        <v>14</v>
      </c>
      <c r="D147" t="s">
        <v>20</v>
      </c>
      <c r="E147">
        <v>48</v>
      </c>
      <c r="F147">
        <v>187</v>
      </c>
      <c r="G147">
        <v>74</v>
      </c>
      <c r="H147">
        <v>21.2</v>
      </c>
      <c r="I147">
        <v>139</v>
      </c>
      <c r="J147">
        <v>83</v>
      </c>
      <c r="K147">
        <v>85</v>
      </c>
      <c r="L147">
        <v>7.8</v>
      </c>
    </row>
    <row r="148" spans="1:12" x14ac:dyDescent="0.35">
      <c r="A148" t="s">
        <v>12</v>
      </c>
      <c r="B148" t="s">
        <v>24</v>
      </c>
      <c r="C148" t="s">
        <v>14</v>
      </c>
      <c r="D148" t="s">
        <v>18</v>
      </c>
      <c r="E148">
        <v>24</v>
      </c>
      <c r="F148">
        <v>175</v>
      </c>
      <c r="G148">
        <v>65</v>
      </c>
      <c r="H148">
        <v>21.2</v>
      </c>
      <c r="I148">
        <v>118</v>
      </c>
      <c r="J148">
        <v>73</v>
      </c>
      <c r="K148">
        <v>89</v>
      </c>
      <c r="L148">
        <v>8.6</v>
      </c>
    </row>
    <row r="149" spans="1:12" x14ac:dyDescent="0.35">
      <c r="A149" t="s">
        <v>12</v>
      </c>
      <c r="B149" t="s">
        <v>21</v>
      </c>
      <c r="C149" t="s">
        <v>23</v>
      </c>
      <c r="D149" t="s">
        <v>26</v>
      </c>
      <c r="E149">
        <v>38</v>
      </c>
      <c r="F149">
        <v>171</v>
      </c>
      <c r="G149">
        <v>70</v>
      </c>
      <c r="H149">
        <v>23.9</v>
      </c>
      <c r="I149">
        <v>142</v>
      </c>
      <c r="J149">
        <v>75</v>
      </c>
      <c r="K149">
        <v>84</v>
      </c>
      <c r="L149">
        <v>9</v>
      </c>
    </row>
    <row r="150" spans="1:12" x14ac:dyDescent="0.35">
      <c r="A150" t="s">
        <v>12</v>
      </c>
      <c r="B150" t="s">
        <v>25</v>
      </c>
      <c r="C150" t="s">
        <v>23</v>
      </c>
      <c r="D150" t="s">
        <v>20</v>
      </c>
      <c r="E150">
        <v>49</v>
      </c>
      <c r="F150">
        <v>176</v>
      </c>
      <c r="G150">
        <v>85</v>
      </c>
      <c r="H150">
        <v>27.4</v>
      </c>
      <c r="I150">
        <v>134</v>
      </c>
      <c r="J150">
        <v>80</v>
      </c>
      <c r="K150">
        <v>71</v>
      </c>
      <c r="L150">
        <v>8</v>
      </c>
    </row>
    <row r="151" spans="1:12" x14ac:dyDescent="0.35">
      <c r="A151" t="s">
        <v>16</v>
      </c>
      <c r="B151" t="s">
        <v>13</v>
      </c>
      <c r="C151" t="s">
        <v>14</v>
      </c>
      <c r="D151" t="s">
        <v>15</v>
      </c>
      <c r="E151">
        <v>50</v>
      </c>
      <c r="F151">
        <v>169</v>
      </c>
      <c r="G151">
        <v>60</v>
      </c>
      <c r="H151">
        <v>21</v>
      </c>
      <c r="I151">
        <v>123</v>
      </c>
      <c r="J151">
        <v>72</v>
      </c>
      <c r="K151">
        <v>70</v>
      </c>
      <c r="L151">
        <v>9.8000000000000007</v>
      </c>
    </row>
    <row r="152" spans="1:12" x14ac:dyDescent="0.35">
      <c r="A152" t="s">
        <v>12</v>
      </c>
      <c r="B152" t="s">
        <v>13</v>
      </c>
      <c r="C152" t="s">
        <v>14</v>
      </c>
      <c r="D152" t="s">
        <v>20</v>
      </c>
      <c r="E152">
        <v>42</v>
      </c>
      <c r="F152">
        <v>189</v>
      </c>
      <c r="G152">
        <v>73</v>
      </c>
      <c r="H152">
        <v>20.399999999999999</v>
      </c>
      <c r="I152">
        <v>120</v>
      </c>
      <c r="J152">
        <v>77</v>
      </c>
      <c r="K152">
        <v>64</v>
      </c>
      <c r="L152">
        <v>7.5</v>
      </c>
    </row>
    <row r="153" spans="1:12" x14ac:dyDescent="0.35">
      <c r="A153" t="s">
        <v>12</v>
      </c>
      <c r="B153" t="s">
        <v>22</v>
      </c>
      <c r="C153" t="s">
        <v>14</v>
      </c>
      <c r="D153" t="s">
        <v>15</v>
      </c>
      <c r="E153">
        <v>37</v>
      </c>
      <c r="F153">
        <v>182</v>
      </c>
      <c r="G153">
        <v>91</v>
      </c>
      <c r="H153">
        <v>27.5</v>
      </c>
      <c r="I153">
        <v>144</v>
      </c>
      <c r="J153">
        <v>72</v>
      </c>
      <c r="K153">
        <v>84</v>
      </c>
      <c r="L153">
        <v>9.4</v>
      </c>
    </row>
    <row r="154" spans="1:12" x14ac:dyDescent="0.35">
      <c r="A154" t="s">
        <v>12</v>
      </c>
      <c r="B154" t="s">
        <v>13</v>
      </c>
      <c r="C154" t="s">
        <v>14</v>
      </c>
      <c r="D154" t="s">
        <v>15</v>
      </c>
      <c r="E154">
        <v>58</v>
      </c>
      <c r="F154">
        <v>161</v>
      </c>
      <c r="G154">
        <v>58</v>
      </c>
      <c r="H154">
        <v>22.4</v>
      </c>
      <c r="I154">
        <v>123</v>
      </c>
      <c r="J154">
        <v>83</v>
      </c>
      <c r="K154">
        <v>77</v>
      </c>
      <c r="L154">
        <v>9.1</v>
      </c>
    </row>
    <row r="155" spans="1:12" x14ac:dyDescent="0.35">
      <c r="A155" t="s">
        <v>12</v>
      </c>
      <c r="B155" t="s">
        <v>22</v>
      </c>
      <c r="C155" t="s">
        <v>14</v>
      </c>
      <c r="D155" t="s">
        <v>20</v>
      </c>
      <c r="E155">
        <v>41</v>
      </c>
      <c r="F155">
        <v>186</v>
      </c>
      <c r="G155">
        <v>58</v>
      </c>
      <c r="H155">
        <v>16.8</v>
      </c>
      <c r="I155">
        <v>139</v>
      </c>
      <c r="J155">
        <v>82</v>
      </c>
      <c r="K155">
        <v>78</v>
      </c>
      <c r="L155">
        <v>8.4</v>
      </c>
    </row>
    <row r="156" spans="1:12" x14ac:dyDescent="0.35">
      <c r="A156" t="s">
        <v>12</v>
      </c>
      <c r="B156" t="s">
        <v>17</v>
      </c>
      <c r="C156" t="s">
        <v>14</v>
      </c>
      <c r="D156" t="s">
        <v>15</v>
      </c>
      <c r="E156">
        <v>27</v>
      </c>
      <c r="F156">
        <v>165</v>
      </c>
      <c r="G156">
        <v>74</v>
      </c>
      <c r="H156">
        <v>27.2</v>
      </c>
      <c r="I156">
        <v>113</v>
      </c>
      <c r="J156">
        <v>82</v>
      </c>
      <c r="K156">
        <v>82</v>
      </c>
      <c r="L156">
        <v>7.6</v>
      </c>
    </row>
    <row r="157" spans="1:12" x14ac:dyDescent="0.35">
      <c r="A157" t="s">
        <v>16</v>
      </c>
      <c r="B157" t="s">
        <v>24</v>
      </c>
      <c r="C157" t="s">
        <v>14</v>
      </c>
      <c r="D157" t="s">
        <v>18</v>
      </c>
      <c r="E157">
        <v>40</v>
      </c>
      <c r="F157">
        <v>164</v>
      </c>
      <c r="G157">
        <v>64</v>
      </c>
      <c r="H157">
        <v>23.8</v>
      </c>
      <c r="I157">
        <v>113</v>
      </c>
      <c r="J157">
        <v>71</v>
      </c>
      <c r="K157">
        <v>82</v>
      </c>
      <c r="L157">
        <v>9.1</v>
      </c>
    </row>
    <row r="158" spans="1:12" x14ac:dyDescent="0.35">
      <c r="A158" t="s">
        <v>12</v>
      </c>
      <c r="B158" t="s">
        <v>25</v>
      </c>
      <c r="C158" t="s">
        <v>14</v>
      </c>
      <c r="D158" t="s">
        <v>26</v>
      </c>
      <c r="E158">
        <v>26</v>
      </c>
      <c r="F158">
        <v>163</v>
      </c>
      <c r="G158">
        <v>78</v>
      </c>
      <c r="H158">
        <v>29.4</v>
      </c>
      <c r="I158">
        <v>137</v>
      </c>
      <c r="J158">
        <v>82</v>
      </c>
      <c r="K158">
        <v>65</v>
      </c>
      <c r="L158">
        <v>8.5</v>
      </c>
    </row>
    <row r="159" spans="1:12" x14ac:dyDescent="0.35">
      <c r="A159" t="s">
        <v>16</v>
      </c>
      <c r="B159" t="s">
        <v>22</v>
      </c>
      <c r="C159" t="s">
        <v>14</v>
      </c>
      <c r="D159" t="s">
        <v>15</v>
      </c>
      <c r="E159">
        <v>24</v>
      </c>
      <c r="F159">
        <v>168</v>
      </c>
      <c r="G159">
        <v>89</v>
      </c>
      <c r="H159">
        <v>31.5</v>
      </c>
      <c r="I159">
        <v>117</v>
      </c>
      <c r="J159">
        <v>88</v>
      </c>
      <c r="K159">
        <v>81</v>
      </c>
      <c r="L159">
        <v>9.8000000000000007</v>
      </c>
    </row>
    <row r="160" spans="1:12" x14ac:dyDescent="0.35">
      <c r="A160" t="s">
        <v>12</v>
      </c>
      <c r="B160" t="s">
        <v>24</v>
      </c>
      <c r="C160" t="s">
        <v>14</v>
      </c>
      <c r="D160" t="s">
        <v>18</v>
      </c>
      <c r="E160">
        <v>22</v>
      </c>
      <c r="F160">
        <v>167</v>
      </c>
      <c r="G160">
        <v>80</v>
      </c>
      <c r="H160">
        <v>28.7</v>
      </c>
      <c r="I160">
        <v>111</v>
      </c>
      <c r="J160">
        <v>75</v>
      </c>
      <c r="K160">
        <v>77</v>
      </c>
      <c r="L160">
        <v>8.9</v>
      </c>
    </row>
    <row r="161" spans="1:12" x14ac:dyDescent="0.35">
      <c r="A161" t="s">
        <v>16</v>
      </c>
      <c r="B161" t="s">
        <v>13</v>
      </c>
      <c r="C161" t="s">
        <v>14</v>
      </c>
      <c r="D161" t="s">
        <v>15</v>
      </c>
      <c r="E161">
        <v>59</v>
      </c>
      <c r="F161">
        <v>179</v>
      </c>
      <c r="G161">
        <v>91</v>
      </c>
      <c r="H161">
        <v>28.4</v>
      </c>
      <c r="I161">
        <v>131</v>
      </c>
      <c r="J161">
        <v>85</v>
      </c>
      <c r="K161">
        <v>85</v>
      </c>
      <c r="L161">
        <v>9.8000000000000007</v>
      </c>
    </row>
    <row r="162" spans="1:12" x14ac:dyDescent="0.35">
      <c r="A162" t="s">
        <v>12</v>
      </c>
      <c r="B162" t="s">
        <v>13</v>
      </c>
      <c r="C162" t="s">
        <v>14</v>
      </c>
      <c r="D162" t="s">
        <v>26</v>
      </c>
      <c r="E162">
        <v>36</v>
      </c>
      <c r="F162">
        <v>156</v>
      </c>
      <c r="G162">
        <v>92</v>
      </c>
      <c r="H162">
        <v>37.799999999999997</v>
      </c>
      <c r="I162">
        <v>125</v>
      </c>
      <c r="J162">
        <v>71</v>
      </c>
      <c r="K162">
        <v>65</v>
      </c>
      <c r="L162">
        <v>8.1</v>
      </c>
    </row>
    <row r="163" spans="1:12" x14ac:dyDescent="0.35">
      <c r="A163" t="s">
        <v>12</v>
      </c>
      <c r="B163" t="s">
        <v>24</v>
      </c>
      <c r="C163" t="s">
        <v>14</v>
      </c>
      <c r="D163" t="s">
        <v>18</v>
      </c>
      <c r="E163">
        <v>55</v>
      </c>
      <c r="F163">
        <v>189</v>
      </c>
      <c r="G163">
        <v>75</v>
      </c>
      <c r="H163">
        <v>21</v>
      </c>
      <c r="I163">
        <v>138</v>
      </c>
      <c r="J163">
        <v>77</v>
      </c>
      <c r="K163">
        <v>63</v>
      </c>
      <c r="L163">
        <v>9.3000000000000007</v>
      </c>
    </row>
    <row r="164" spans="1:12" x14ac:dyDescent="0.35">
      <c r="A164" t="s">
        <v>16</v>
      </c>
      <c r="B164" t="s">
        <v>13</v>
      </c>
      <c r="C164" t="s">
        <v>23</v>
      </c>
      <c r="D164" t="s">
        <v>26</v>
      </c>
      <c r="E164">
        <v>56</v>
      </c>
      <c r="F164">
        <v>161</v>
      </c>
      <c r="G164">
        <v>94</v>
      </c>
      <c r="H164">
        <v>36.299999999999997</v>
      </c>
      <c r="I164">
        <v>139</v>
      </c>
      <c r="J164">
        <v>86</v>
      </c>
      <c r="K164">
        <v>71</v>
      </c>
      <c r="L164">
        <v>9</v>
      </c>
    </row>
    <row r="165" spans="1:12" x14ac:dyDescent="0.35">
      <c r="A165" t="s">
        <v>16</v>
      </c>
      <c r="B165" t="s">
        <v>17</v>
      </c>
      <c r="C165" t="s">
        <v>14</v>
      </c>
      <c r="D165" t="s">
        <v>26</v>
      </c>
      <c r="E165">
        <v>46</v>
      </c>
      <c r="F165">
        <v>175</v>
      </c>
      <c r="G165">
        <v>93</v>
      </c>
      <c r="H165">
        <v>30.4</v>
      </c>
      <c r="I165">
        <v>121</v>
      </c>
      <c r="J165">
        <v>92</v>
      </c>
      <c r="K165">
        <v>78</v>
      </c>
      <c r="L165">
        <v>9.3000000000000007</v>
      </c>
    </row>
    <row r="166" spans="1:12" x14ac:dyDescent="0.35">
      <c r="A166" t="s">
        <v>16</v>
      </c>
      <c r="B166" t="s">
        <v>17</v>
      </c>
      <c r="C166" t="s">
        <v>14</v>
      </c>
      <c r="D166" t="s">
        <v>18</v>
      </c>
      <c r="E166">
        <v>45</v>
      </c>
      <c r="F166">
        <v>172</v>
      </c>
      <c r="G166">
        <v>75</v>
      </c>
      <c r="H166">
        <v>25.4</v>
      </c>
      <c r="I166">
        <v>144</v>
      </c>
      <c r="J166">
        <v>71</v>
      </c>
      <c r="K166">
        <v>88</v>
      </c>
      <c r="L166">
        <v>8</v>
      </c>
    </row>
    <row r="167" spans="1:12" x14ac:dyDescent="0.35">
      <c r="A167" t="s">
        <v>12</v>
      </c>
      <c r="B167" t="s">
        <v>24</v>
      </c>
      <c r="C167" t="s">
        <v>23</v>
      </c>
      <c r="D167" t="s">
        <v>18</v>
      </c>
      <c r="E167">
        <v>33</v>
      </c>
      <c r="F167">
        <v>157</v>
      </c>
      <c r="G167">
        <v>64</v>
      </c>
      <c r="H167">
        <v>26</v>
      </c>
      <c r="I167">
        <v>120</v>
      </c>
      <c r="J167">
        <v>79</v>
      </c>
      <c r="K167">
        <v>86</v>
      </c>
      <c r="L167">
        <v>9.1999999999999993</v>
      </c>
    </row>
    <row r="168" spans="1:12" x14ac:dyDescent="0.35">
      <c r="A168" t="s">
        <v>16</v>
      </c>
      <c r="B168" t="s">
        <v>22</v>
      </c>
      <c r="C168" t="s">
        <v>14</v>
      </c>
      <c r="D168" t="s">
        <v>18</v>
      </c>
      <c r="E168">
        <v>39</v>
      </c>
      <c r="F168">
        <v>165</v>
      </c>
      <c r="G168">
        <v>92</v>
      </c>
      <c r="H168">
        <v>33.799999999999997</v>
      </c>
      <c r="I168">
        <v>130</v>
      </c>
      <c r="J168">
        <v>85</v>
      </c>
      <c r="K168">
        <v>88</v>
      </c>
      <c r="L168">
        <v>8.6999999999999993</v>
      </c>
    </row>
    <row r="169" spans="1:12" x14ac:dyDescent="0.35">
      <c r="A169" t="s">
        <v>12</v>
      </c>
      <c r="B169" t="s">
        <v>22</v>
      </c>
      <c r="C169" t="s">
        <v>14</v>
      </c>
      <c r="D169" t="s">
        <v>20</v>
      </c>
      <c r="E169">
        <v>36</v>
      </c>
      <c r="F169">
        <v>178</v>
      </c>
      <c r="G169">
        <v>58</v>
      </c>
      <c r="H169">
        <v>18.3</v>
      </c>
      <c r="I169">
        <v>130</v>
      </c>
      <c r="J169">
        <v>75</v>
      </c>
      <c r="K169">
        <v>61</v>
      </c>
      <c r="L169">
        <v>9.4</v>
      </c>
    </row>
    <row r="170" spans="1:12" x14ac:dyDescent="0.35">
      <c r="A170" t="s">
        <v>12</v>
      </c>
      <c r="B170" t="s">
        <v>24</v>
      </c>
      <c r="C170" t="s">
        <v>14</v>
      </c>
      <c r="D170" t="s">
        <v>18</v>
      </c>
      <c r="E170">
        <v>37</v>
      </c>
      <c r="F170">
        <v>173</v>
      </c>
      <c r="G170">
        <v>99</v>
      </c>
      <c r="H170">
        <v>33.1</v>
      </c>
      <c r="I170">
        <v>114</v>
      </c>
      <c r="J170">
        <v>71</v>
      </c>
      <c r="K170">
        <v>76</v>
      </c>
      <c r="L170">
        <v>8.3000000000000007</v>
      </c>
    </row>
    <row r="171" spans="1:12" x14ac:dyDescent="0.35">
      <c r="A171" t="s">
        <v>16</v>
      </c>
      <c r="B171" t="s">
        <v>22</v>
      </c>
      <c r="C171" t="s">
        <v>14</v>
      </c>
      <c r="D171" t="s">
        <v>18</v>
      </c>
      <c r="E171">
        <v>48</v>
      </c>
      <c r="F171">
        <v>158</v>
      </c>
      <c r="G171">
        <v>74</v>
      </c>
      <c r="H171">
        <v>29.6</v>
      </c>
      <c r="I171">
        <v>129</v>
      </c>
      <c r="J171">
        <v>71</v>
      </c>
      <c r="K171">
        <v>70</v>
      </c>
      <c r="L171">
        <v>9.6999999999999993</v>
      </c>
    </row>
    <row r="172" spans="1:12" x14ac:dyDescent="0.35">
      <c r="A172" t="s">
        <v>16</v>
      </c>
      <c r="B172" t="s">
        <v>22</v>
      </c>
      <c r="C172" t="s">
        <v>23</v>
      </c>
      <c r="D172" t="s">
        <v>18</v>
      </c>
      <c r="E172">
        <v>29</v>
      </c>
      <c r="F172">
        <v>180</v>
      </c>
      <c r="G172">
        <v>71</v>
      </c>
      <c r="H172">
        <v>21.9</v>
      </c>
      <c r="I172">
        <v>146</v>
      </c>
      <c r="J172">
        <v>82</v>
      </c>
      <c r="K172">
        <v>70</v>
      </c>
      <c r="L172">
        <v>7.7</v>
      </c>
    </row>
    <row r="173" spans="1:12" x14ac:dyDescent="0.35">
      <c r="A173" t="s">
        <v>12</v>
      </c>
      <c r="B173" t="s">
        <v>17</v>
      </c>
      <c r="C173" t="s">
        <v>14</v>
      </c>
      <c r="D173" t="s">
        <v>18</v>
      </c>
      <c r="E173">
        <v>46</v>
      </c>
      <c r="F173">
        <v>186</v>
      </c>
      <c r="G173">
        <v>61</v>
      </c>
      <c r="H173">
        <v>17.600000000000001</v>
      </c>
      <c r="I173">
        <v>112</v>
      </c>
      <c r="J173">
        <v>93</v>
      </c>
      <c r="K173">
        <v>80</v>
      </c>
      <c r="L173">
        <v>9.5</v>
      </c>
    </row>
    <row r="174" spans="1:12" x14ac:dyDescent="0.35">
      <c r="A174" t="s">
        <v>12</v>
      </c>
      <c r="B174" t="s">
        <v>22</v>
      </c>
      <c r="C174" t="s">
        <v>14</v>
      </c>
      <c r="D174" t="s">
        <v>15</v>
      </c>
      <c r="E174">
        <v>38</v>
      </c>
      <c r="F174">
        <v>187</v>
      </c>
      <c r="G174">
        <v>58</v>
      </c>
      <c r="H174">
        <v>16.600000000000001</v>
      </c>
      <c r="I174">
        <v>142</v>
      </c>
      <c r="J174">
        <v>84</v>
      </c>
      <c r="K174">
        <v>75</v>
      </c>
      <c r="L174">
        <v>9.6999999999999993</v>
      </c>
    </row>
    <row r="175" spans="1:12" x14ac:dyDescent="0.35">
      <c r="A175" t="s">
        <v>16</v>
      </c>
      <c r="B175" t="s">
        <v>21</v>
      </c>
      <c r="C175" t="s">
        <v>14</v>
      </c>
      <c r="D175" t="s">
        <v>20</v>
      </c>
      <c r="E175">
        <v>50</v>
      </c>
      <c r="F175">
        <v>157</v>
      </c>
      <c r="G175">
        <v>83</v>
      </c>
      <c r="H175">
        <v>33.700000000000003</v>
      </c>
      <c r="I175">
        <v>118</v>
      </c>
      <c r="J175">
        <v>71</v>
      </c>
      <c r="K175">
        <v>61</v>
      </c>
      <c r="L175">
        <v>9.5</v>
      </c>
    </row>
    <row r="176" spans="1:12" x14ac:dyDescent="0.35">
      <c r="A176" t="s">
        <v>16</v>
      </c>
      <c r="B176" t="s">
        <v>25</v>
      </c>
      <c r="C176" t="s">
        <v>14</v>
      </c>
      <c r="D176" t="s">
        <v>26</v>
      </c>
      <c r="E176">
        <v>29</v>
      </c>
      <c r="F176">
        <v>163</v>
      </c>
      <c r="G176">
        <v>68</v>
      </c>
      <c r="H176">
        <v>25.6</v>
      </c>
      <c r="I176">
        <v>118</v>
      </c>
      <c r="J176">
        <v>76</v>
      </c>
      <c r="K176">
        <v>61</v>
      </c>
      <c r="L176">
        <v>8.8000000000000007</v>
      </c>
    </row>
    <row r="177" spans="1:12" x14ac:dyDescent="0.35">
      <c r="A177" t="s">
        <v>16</v>
      </c>
      <c r="B177" t="s">
        <v>13</v>
      </c>
      <c r="C177" t="s">
        <v>14</v>
      </c>
      <c r="D177" t="s">
        <v>18</v>
      </c>
      <c r="E177">
        <v>36</v>
      </c>
      <c r="F177">
        <v>162</v>
      </c>
      <c r="G177">
        <v>57</v>
      </c>
      <c r="H177">
        <v>21.7</v>
      </c>
      <c r="I177">
        <v>113</v>
      </c>
      <c r="J177">
        <v>72</v>
      </c>
      <c r="K177">
        <v>82</v>
      </c>
      <c r="L177">
        <v>8.6</v>
      </c>
    </row>
    <row r="178" spans="1:12" x14ac:dyDescent="0.35">
      <c r="A178" t="s">
        <v>12</v>
      </c>
      <c r="B178" t="s">
        <v>21</v>
      </c>
      <c r="C178" t="s">
        <v>14</v>
      </c>
      <c r="D178" t="s">
        <v>15</v>
      </c>
      <c r="E178">
        <v>48</v>
      </c>
      <c r="F178">
        <v>187</v>
      </c>
      <c r="G178">
        <v>78</v>
      </c>
      <c r="H178">
        <v>22.3</v>
      </c>
      <c r="I178">
        <v>144</v>
      </c>
      <c r="J178">
        <v>77</v>
      </c>
      <c r="K178">
        <v>67</v>
      </c>
      <c r="L178">
        <v>10</v>
      </c>
    </row>
    <row r="179" spans="1:12" x14ac:dyDescent="0.35">
      <c r="A179" t="s">
        <v>12</v>
      </c>
      <c r="B179" t="s">
        <v>22</v>
      </c>
      <c r="C179" t="s">
        <v>14</v>
      </c>
      <c r="D179" t="s">
        <v>15</v>
      </c>
      <c r="E179">
        <v>28</v>
      </c>
      <c r="F179">
        <v>160</v>
      </c>
      <c r="G179">
        <v>91</v>
      </c>
      <c r="H179">
        <v>35.5</v>
      </c>
      <c r="I179">
        <v>126</v>
      </c>
      <c r="J179">
        <v>92</v>
      </c>
      <c r="K179">
        <v>72</v>
      </c>
      <c r="L179">
        <v>8.1</v>
      </c>
    </row>
    <row r="180" spans="1:12" x14ac:dyDescent="0.35">
      <c r="A180" t="s">
        <v>12</v>
      </c>
      <c r="B180" t="s">
        <v>17</v>
      </c>
      <c r="C180" t="s">
        <v>19</v>
      </c>
      <c r="D180" t="s">
        <v>15</v>
      </c>
      <c r="E180">
        <v>24</v>
      </c>
      <c r="F180">
        <v>158</v>
      </c>
      <c r="G180">
        <v>70</v>
      </c>
      <c r="H180">
        <v>28</v>
      </c>
      <c r="I180">
        <v>143</v>
      </c>
      <c r="J180">
        <v>83</v>
      </c>
      <c r="K180">
        <v>69</v>
      </c>
      <c r="L180">
        <v>8.9</v>
      </c>
    </row>
    <row r="181" spans="1:12" x14ac:dyDescent="0.35">
      <c r="A181" t="s">
        <v>12</v>
      </c>
      <c r="B181" t="s">
        <v>24</v>
      </c>
      <c r="C181" t="s">
        <v>14</v>
      </c>
      <c r="D181" t="s">
        <v>26</v>
      </c>
      <c r="E181">
        <v>50</v>
      </c>
      <c r="F181">
        <v>167</v>
      </c>
      <c r="G181">
        <v>58</v>
      </c>
      <c r="H181">
        <v>20.8</v>
      </c>
      <c r="I181">
        <v>133</v>
      </c>
      <c r="J181">
        <v>93</v>
      </c>
      <c r="K181">
        <v>67</v>
      </c>
      <c r="L181">
        <v>9.1999999999999993</v>
      </c>
    </row>
    <row r="182" spans="1:12" x14ac:dyDescent="0.35">
      <c r="A182" t="s">
        <v>12</v>
      </c>
      <c r="B182" t="s">
        <v>22</v>
      </c>
      <c r="C182" t="s">
        <v>14</v>
      </c>
      <c r="D182" t="s">
        <v>18</v>
      </c>
      <c r="E182">
        <v>45</v>
      </c>
      <c r="F182">
        <v>156</v>
      </c>
      <c r="G182">
        <v>78</v>
      </c>
      <c r="H182">
        <v>32.1</v>
      </c>
      <c r="I182">
        <v>141</v>
      </c>
      <c r="J182">
        <v>92</v>
      </c>
      <c r="K182">
        <v>89</v>
      </c>
      <c r="L182">
        <v>9.3000000000000007</v>
      </c>
    </row>
    <row r="183" spans="1:12" x14ac:dyDescent="0.35">
      <c r="A183" t="s">
        <v>12</v>
      </c>
      <c r="B183" t="s">
        <v>17</v>
      </c>
      <c r="C183" t="s">
        <v>14</v>
      </c>
      <c r="D183" t="s">
        <v>20</v>
      </c>
      <c r="E183">
        <v>24</v>
      </c>
      <c r="F183">
        <v>159</v>
      </c>
      <c r="G183">
        <v>88</v>
      </c>
      <c r="H183">
        <v>34.799999999999997</v>
      </c>
      <c r="I183">
        <v>110</v>
      </c>
      <c r="J183">
        <v>91</v>
      </c>
      <c r="K183">
        <v>63</v>
      </c>
      <c r="L183">
        <v>8</v>
      </c>
    </row>
    <row r="184" spans="1:12" x14ac:dyDescent="0.35">
      <c r="A184" t="s">
        <v>16</v>
      </c>
      <c r="B184" t="s">
        <v>25</v>
      </c>
      <c r="C184" t="s">
        <v>14</v>
      </c>
      <c r="D184" t="s">
        <v>20</v>
      </c>
      <c r="E184">
        <v>41</v>
      </c>
      <c r="F184">
        <v>181</v>
      </c>
      <c r="G184">
        <v>84</v>
      </c>
      <c r="H184">
        <v>25.6</v>
      </c>
      <c r="I184">
        <v>117</v>
      </c>
      <c r="J184">
        <v>76</v>
      </c>
      <c r="K184">
        <v>74</v>
      </c>
      <c r="L184">
        <v>9.1</v>
      </c>
    </row>
    <row r="185" spans="1:12" x14ac:dyDescent="0.35">
      <c r="A185" t="s">
        <v>12</v>
      </c>
      <c r="B185" t="s">
        <v>22</v>
      </c>
      <c r="C185" t="s">
        <v>14</v>
      </c>
      <c r="D185" t="s">
        <v>15</v>
      </c>
      <c r="E185">
        <v>36</v>
      </c>
      <c r="F185">
        <v>186</v>
      </c>
      <c r="G185">
        <v>72</v>
      </c>
      <c r="H185">
        <v>20.8</v>
      </c>
      <c r="I185">
        <v>132</v>
      </c>
      <c r="J185">
        <v>90</v>
      </c>
      <c r="K185">
        <v>89</v>
      </c>
      <c r="L185">
        <v>9.5</v>
      </c>
    </row>
    <row r="186" spans="1:12" x14ac:dyDescent="0.35">
      <c r="A186" t="s">
        <v>12</v>
      </c>
      <c r="B186" t="s">
        <v>24</v>
      </c>
      <c r="C186" t="s">
        <v>14</v>
      </c>
      <c r="D186" t="s">
        <v>26</v>
      </c>
      <c r="E186">
        <v>46</v>
      </c>
      <c r="F186">
        <v>175</v>
      </c>
      <c r="G186">
        <v>73</v>
      </c>
      <c r="H186">
        <v>23.8</v>
      </c>
      <c r="I186">
        <v>149</v>
      </c>
      <c r="J186">
        <v>76</v>
      </c>
      <c r="K186">
        <v>60</v>
      </c>
      <c r="L186">
        <v>7.6</v>
      </c>
    </row>
    <row r="187" spans="1:12" x14ac:dyDescent="0.35">
      <c r="A187" t="s">
        <v>12</v>
      </c>
      <c r="B187" t="s">
        <v>17</v>
      </c>
      <c r="C187" t="s">
        <v>14</v>
      </c>
      <c r="D187" t="s">
        <v>26</v>
      </c>
      <c r="E187">
        <v>51</v>
      </c>
      <c r="F187">
        <v>162</v>
      </c>
      <c r="G187">
        <v>85</v>
      </c>
      <c r="H187">
        <v>32.4</v>
      </c>
      <c r="I187">
        <v>121</v>
      </c>
      <c r="J187">
        <v>70</v>
      </c>
      <c r="K187">
        <v>70</v>
      </c>
      <c r="L187">
        <v>9.8000000000000007</v>
      </c>
    </row>
    <row r="188" spans="1:12" x14ac:dyDescent="0.35">
      <c r="A188" t="s">
        <v>16</v>
      </c>
      <c r="B188" t="s">
        <v>17</v>
      </c>
      <c r="C188" t="s">
        <v>14</v>
      </c>
      <c r="D188" t="s">
        <v>26</v>
      </c>
      <c r="E188">
        <v>35</v>
      </c>
      <c r="F188">
        <v>162</v>
      </c>
      <c r="G188">
        <v>73</v>
      </c>
      <c r="H188">
        <v>27.8</v>
      </c>
      <c r="I188">
        <v>121</v>
      </c>
      <c r="J188">
        <v>86</v>
      </c>
      <c r="K188">
        <v>66</v>
      </c>
      <c r="L188">
        <v>7.6</v>
      </c>
    </row>
    <row r="189" spans="1:12" x14ac:dyDescent="0.35">
      <c r="A189" t="s">
        <v>12</v>
      </c>
      <c r="B189" t="s">
        <v>17</v>
      </c>
      <c r="C189" t="s">
        <v>14</v>
      </c>
      <c r="D189" t="s">
        <v>20</v>
      </c>
      <c r="E189">
        <v>28</v>
      </c>
      <c r="F189">
        <v>157</v>
      </c>
      <c r="G189">
        <v>73</v>
      </c>
      <c r="H189">
        <v>29.6</v>
      </c>
      <c r="I189">
        <v>124</v>
      </c>
      <c r="J189">
        <v>78</v>
      </c>
      <c r="K189">
        <v>76</v>
      </c>
      <c r="L189">
        <v>8.4</v>
      </c>
    </row>
    <row r="190" spans="1:12" x14ac:dyDescent="0.35">
      <c r="A190" t="s">
        <v>12</v>
      </c>
      <c r="B190" t="s">
        <v>25</v>
      </c>
      <c r="C190" t="s">
        <v>23</v>
      </c>
      <c r="D190" t="s">
        <v>15</v>
      </c>
      <c r="E190">
        <v>38</v>
      </c>
      <c r="F190">
        <v>157</v>
      </c>
      <c r="G190">
        <v>76</v>
      </c>
      <c r="H190">
        <v>30.8</v>
      </c>
      <c r="I190">
        <v>128</v>
      </c>
      <c r="J190">
        <v>90</v>
      </c>
      <c r="K190">
        <v>86</v>
      </c>
      <c r="L190">
        <v>7.5</v>
      </c>
    </row>
    <row r="191" spans="1:12" x14ac:dyDescent="0.35">
      <c r="A191" t="s">
        <v>16</v>
      </c>
      <c r="B191" t="s">
        <v>22</v>
      </c>
      <c r="C191" t="s">
        <v>14</v>
      </c>
      <c r="D191" t="s">
        <v>18</v>
      </c>
      <c r="E191">
        <v>41</v>
      </c>
      <c r="F191">
        <v>176</v>
      </c>
      <c r="G191">
        <v>78</v>
      </c>
      <c r="H191">
        <v>25.2</v>
      </c>
      <c r="I191">
        <v>135</v>
      </c>
      <c r="J191">
        <v>82</v>
      </c>
      <c r="K191">
        <v>79</v>
      </c>
      <c r="L191">
        <v>7.7</v>
      </c>
    </row>
    <row r="192" spans="1:12" x14ac:dyDescent="0.35">
      <c r="A192" t="s">
        <v>12</v>
      </c>
      <c r="B192" t="s">
        <v>25</v>
      </c>
      <c r="C192" t="s">
        <v>14</v>
      </c>
      <c r="D192" t="s">
        <v>20</v>
      </c>
      <c r="E192">
        <v>57</v>
      </c>
      <c r="F192">
        <v>160</v>
      </c>
      <c r="G192">
        <v>99</v>
      </c>
      <c r="H192">
        <v>38.700000000000003</v>
      </c>
      <c r="I192">
        <v>138</v>
      </c>
      <c r="J192">
        <v>90</v>
      </c>
      <c r="K192">
        <v>83</v>
      </c>
      <c r="L192">
        <v>9.8000000000000007</v>
      </c>
    </row>
    <row r="193" spans="1:12" x14ac:dyDescent="0.35">
      <c r="A193" t="s">
        <v>12</v>
      </c>
      <c r="B193" t="s">
        <v>13</v>
      </c>
      <c r="C193" t="s">
        <v>14</v>
      </c>
      <c r="D193" t="s">
        <v>15</v>
      </c>
      <c r="E193">
        <v>30</v>
      </c>
      <c r="F193">
        <v>156</v>
      </c>
      <c r="G193">
        <v>66</v>
      </c>
      <c r="H193">
        <v>27.1</v>
      </c>
      <c r="I193">
        <v>131</v>
      </c>
      <c r="J193">
        <v>88</v>
      </c>
      <c r="K193">
        <v>77</v>
      </c>
      <c r="L193">
        <v>8.4</v>
      </c>
    </row>
    <row r="194" spans="1:12" x14ac:dyDescent="0.35">
      <c r="A194" t="s">
        <v>12</v>
      </c>
      <c r="B194" t="s">
        <v>13</v>
      </c>
      <c r="C194" t="s">
        <v>19</v>
      </c>
      <c r="D194" t="s">
        <v>15</v>
      </c>
      <c r="E194">
        <v>59</v>
      </c>
      <c r="F194">
        <v>177</v>
      </c>
      <c r="G194">
        <v>84</v>
      </c>
      <c r="H194">
        <v>26.8</v>
      </c>
      <c r="I194">
        <v>149</v>
      </c>
      <c r="J194">
        <v>90</v>
      </c>
      <c r="K194">
        <v>81</v>
      </c>
      <c r="L194">
        <v>8.6</v>
      </c>
    </row>
    <row r="195" spans="1:12" x14ac:dyDescent="0.35">
      <c r="A195" t="s">
        <v>12</v>
      </c>
      <c r="B195" t="s">
        <v>22</v>
      </c>
      <c r="C195" t="s">
        <v>14</v>
      </c>
      <c r="D195" t="s">
        <v>18</v>
      </c>
      <c r="E195">
        <v>43</v>
      </c>
      <c r="F195">
        <v>156</v>
      </c>
      <c r="G195">
        <v>92</v>
      </c>
      <c r="H195">
        <v>37.799999999999997</v>
      </c>
      <c r="I195">
        <v>130</v>
      </c>
      <c r="J195">
        <v>88</v>
      </c>
      <c r="K195">
        <v>88</v>
      </c>
      <c r="L195">
        <v>8</v>
      </c>
    </row>
    <row r="196" spans="1:12" x14ac:dyDescent="0.35">
      <c r="A196" t="s">
        <v>12</v>
      </c>
      <c r="B196" t="s">
        <v>25</v>
      </c>
      <c r="C196" t="s">
        <v>14</v>
      </c>
      <c r="D196" t="s">
        <v>18</v>
      </c>
      <c r="E196">
        <v>23</v>
      </c>
      <c r="F196">
        <v>171</v>
      </c>
      <c r="G196">
        <v>85</v>
      </c>
      <c r="H196">
        <v>29.1</v>
      </c>
      <c r="I196">
        <v>147</v>
      </c>
      <c r="J196">
        <v>94</v>
      </c>
      <c r="K196">
        <v>81</v>
      </c>
      <c r="L196">
        <v>9</v>
      </c>
    </row>
    <row r="197" spans="1:12" x14ac:dyDescent="0.35">
      <c r="A197" t="s">
        <v>16</v>
      </c>
      <c r="B197" t="s">
        <v>24</v>
      </c>
      <c r="C197" t="s">
        <v>19</v>
      </c>
      <c r="D197" t="s">
        <v>18</v>
      </c>
      <c r="E197">
        <v>45</v>
      </c>
      <c r="F197">
        <v>189</v>
      </c>
      <c r="G197">
        <v>90</v>
      </c>
      <c r="H197">
        <v>25.2</v>
      </c>
      <c r="I197">
        <v>129</v>
      </c>
      <c r="J197">
        <v>94</v>
      </c>
      <c r="K197">
        <v>71</v>
      </c>
      <c r="L197">
        <v>9</v>
      </c>
    </row>
    <row r="198" spans="1:12" x14ac:dyDescent="0.35">
      <c r="A198" t="s">
        <v>16</v>
      </c>
      <c r="B198" t="s">
        <v>17</v>
      </c>
      <c r="C198" t="s">
        <v>23</v>
      </c>
      <c r="D198" t="s">
        <v>26</v>
      </c>
      <c r="E198">
        <v>29</v>
      </c>
      <c r="F198">
        <v>188</v>
      </c>
      <c r="G198">
        <v>73</v>
      </c>
      <c r="H198">
        <v>20.7</v>
      </c>
      <c r="I198">
        <v>138</v>
      </c>
      <c r="J198">
        <v>91</v>
      </c>
      <c r="K198">
        <v>68</v>
      </c>
      <c r="L198">
        <v>8.4</v>
      </c>
    </row>
    <row r="199" spans="1:12" x14ac:dyDescent="0.35">
      <c r="A199" t="s">
        <v>16</v>
      </c>
      <c r="B199" t="s">
        <v>17</v>
      </c>
      <c r="C199" t="s">
        <v>23</v>
      </c>
      <c r="D199" t="s">
        <v>18</v>
      </c>
      <c r="E199">
        <v>32</v>
      </c>
      <c r="F199">
        <v>177</v>
      </c>
      <c r="G199">
        <v>99</v>
      </c>
      <c r="H199">
        <v>31.6</v>
      </c>
      <c r="I199">
        <v>113</v>
      </c>
      <c r="J199">
        <v>86</v>
      </c>
      <c r="K199">
        <v>64</v>
      </c>
      <c r="L199">
        <v>8.3000000000000007</v>
      </c>
    </row>
    <row r="200" spans="1:12" x14ac:dyDescent="0.35">
      <c r="A200" t="s">
        <v>12</v>
      </c>
      <c r="B200" t="s">
        <v>22</v>
      </c>
      <c r="C200" t="s">
        <v>14</v>
      </c>
      <c r="D200" t="s">
        <v>15</v>
      </c>
      <c r="E200">
        <v>34</v>
      </c>
      <c r="F200">
        <v>184</v>
      </c>
      <c r="G200">
        <v>90</v>
      </c>
      <c r="H200">
        <v>26.6</v>
      </c>
      <c r="I200">
        <v>116</v>
      </c>
      <c r="J200">
        <v>92</v>
      </c>
      <c r="K200">
        <v>69</v>
      </c>
      <c r="L200">
        <v>9.6999999999999993</v>
      </c>
    </row>
    <row r="201" spans="1:12" x14ac:dyDescent="0.35">
      <c r="A201" t="s">
        <v>12</v>
      </c>
      <c r="B201" t="s">
        <v>13</v>
      </c>
      <c r="C201" t="s">
        <v>14</v>
      </c>
      <c r="D201" t="s">
        <v>18</v>
      </c>
      <c r="E201">
        <v>38</v>
      </c>
      <c r="F201">
        <v>162</v>
      </c>
      <c r="G201">
        <v>84</v>
      </c>
      <c r="H201">
        <v>32</v>
      </c>
      <c r="I201">
        <v>137</v>
      </c>
      <c r="J201">
        <v>92</v>
      </c>
      <c r="K201">
        <v>63</v>
      </c>
      <c r="L201">
        <v>8.5</v>
      </c>
    </row>
    <row r="202" spans="1:12" x14ac:dyDescent="0.35">
      <c r="A202" t="s">
        <v>12</v>
      </c>
      <c r="B202" t="s">
        <v>13</v>
      </c>
      <c r="C202" t="s">
        <v>14</v>
      </c>
      <c r="D202" t="s">
        <v>15</v>
      </c>
      <c r="E202">
        <v>29</v>
      </c>
      <c r="F202">
        <v>176</v>
      </c>
      <c r="G202">
        <v>87</v>
      </c>
      <c r="H202">
        <v>28.1</v>
      </c>
      <c r="I202">
        <v>137</v>
      </c>
      <c r="J202">
        <v>79</v>
      </c>
      <c r="K202">
        <v>64</v>
      </c>
      <c r="L202">
        <v>8.6999999999999993</v>
      </c>
    </row>
    <row r="203" spans="1:12" x14ac:dyDescent="0.35">
      <c r="A203" t="s">
        <v>16</v>
      </c>
      <c r="B203" t="s">
        <v>17</v>
      </c>
      <c r="C203" t="s">
        <v>19</v>
      </c>
      <c r="D203" t="s">
        <v>20</v>
      </c>
      <c r="E203">
        <v>42</v>
      </c>
      <c r="F203">
        <v>159</v>
      </c>
      <c r="G203">
        <v>72</v>
      </c>
      <c r="H203">
        <v>28.5</v>
      </c>
      <c r="I203">
        <v>113</v>
      </c>
      <c r="J203">
        <v>79</v>
      </c>
      <c r="K203">
        <v>87</v>
      </c>
      <c r="L203">
        <v>8.1999999999999993</v>
      </c>
    </row>
    <row r="204" spans="1:12" x14ac:dyDescent="0.35">
      <c r="A204" t="s">
        <v>12</v>
      </c>
      <c r="B204" t="s">
        <v>22</v>
      </c>
      <c r="C204" t="s">
        <v>14</v>
      </c>
      <c r="D204" t="s">
        <v>26</v>
      </c>
      <c r="E204">
        <v>39</v>
      </c>
      <c r="F204">
        <v>167</v>
      </c>
      <c r="G204">
        <v>82</v>
      </c>
      <c r="H204">
        <v>29.4</v>
      </c>
      <c r="I204">
        <v>131</v>
      </c>
      <c r="J204">
        <v>73</v>
      </c>
      <c r="K204">
        <v>87</v>
      </c>
      <c r="L204">
        <v>9.5</v>
      </c>
    </row>
    <row r="205" spans="1:12" x14ac:dyDescent="0.35">
      <c r="A205" t="s">
        <v>12</v>
      </c>
      <c r="B205" t="s">
        <v>25</v>
      </c>
      <c r="C205" t="s">
        <v>14</v>
      </c>
      <c r="D205" t="s">
        <v>20</v>
      </c>
      <c r="E205">
        <v>51</v>
      </c>
      <c r="F205">
        <v>183</v>
      </c>
      <c r="G205">
        <v>65</v>
      </c>
      <c r="H205">
        <v>19.399999999999999</v>
      </c>
      <c r="I205">
        <v>121</v>
      </c>
      <c r="J205">
        <v>77</v>
      </c>
      <c r="K205">
        <v>69</v>
      </c>
      <c r="L205">
        <v>8.5</v>
      </c>
    </row>
    <row r="206" spans="1:12" x14ac:dyDescent="0.35">
      <c r="A206" t="s">
        <v>16</v>
      </c>
      <c r="B206" t="s">
        <v>13</v>
      </c>
      <c r="C206" t="s">
        <v>14</v>
      </c>
      <c r="D206" t="s">
        <v>20</v>
      </c>
      <c r="E206">
        <v>39</v>
      </c>
      <c r="F206">
        <v>185</v>
      </c>
      <c r="G206">
        <v>99</v>
      </c>
      <c r="H206">
        <v>28.9</v>
      </c>
      <c r="I206">
        <v>112</v>
      </c>
      <c r="J206">
        <v>91</v>
      </c>
      <c r="K206">
        <v>70</v>
      </c>
      <c r="L206">
        <v>8.8000000000000007</v>
      </c>
    </row>
    <row r="207" spans="1:12" x14ac:dyDescent="0.35">
      <c r="A207" t="s">
        <v>12</v>
      </c>
      <c r="B207" t="s">
        <v>25</v>
      </c>
      <c r="C207" t="s">
        <v>23</v>
      </c>
      <c r="D207" t="s">
        <v>15</v>
      </c>
      <c r="E207">
        <v>52</v>
      </c>
      <c r="F207">
        <v>170</v>
      </c>
      <c r="G207">
        <v>87</v>
      </c>
      <c r="H207">
        <v>30.1</v>
      </c>
      <c r="I207">
        <v>131</v>
      </c>
      <c r="J207">
        <v>89</v>
      </c>
      <c r="K207">
        <v>80</v>
      </c>
      <c r="L207">
        <v>8.1</v>
      </c>
    </row>
    <row r="208" spans="1:12" x14ac:dyDescent="0.35">
      <c r="A208" t="s">
        <v>16</v>
      </c>
      <c r="B208" t="s">
        <v>13</v>
      </c>
      <c r="C208" t="s">
        <v>14</v>
      </c>
      <c r="D208" t="s">
        <v>20</v>
      </c>
      <c r="E208">
        <v>59</v>
      </c>
      <c r="F208">
        <v>184</v>
      </c>
      <c r="G208">
        <v>71</v>
      </c>
      <c r="H208">
        <v>21</v>
      </c>
      <c r="I208">
        <v>111</v>
      </c>
      <c r="J208">
        <v>89</v>
      </c>
      <c r="K208">
        <v>83</v>
      </c>
      <c r="L208">
        <v>10</v>
      </c>
    </row>
    <row r="209" spans="1:12" x14ac:dyDescent="0.35">
      <c r="A209" t="s">
        <v>16</v>
      </c>
      <c r="B209" t="s">
        <v>13</v>
      </c>
      <c r="C209" t="s">
        <v>14</v>
      </c>
      <c r="D209" t="s">
        <v>15</v>
      </c>
      <c r="E209">
        <v>53</v>
      </c>
      <c r="F209">
        <v>170</v>
      </c>
      <c r="G209">
        <v>60</v>
      </c>
      <c r="H209">
        <v>20.8</v>
      </c>
      <c r="I209">
        <v>133</v>
      </c>
      <c r="J209">
        <v>87</v>
      </c>
      <c r="K209">
        <v>69</v>
      </c>
      <c r="L209">
        <v>8.1999999999999993</v>
      </c>
    </row>
    <row r="210" spans="1:12" x14ac:dyDescent="0.35">
      <c r="A210" t="s">
        <v>16</v>
      </c>
      <c r="B210" t="s">
        <v>21</v>
      </c>
      <c r="C210" t="s">
        <v>14</v>
      </c>
      <c r="D210" t="s">
        <v>18</v>
      </c>
      <c r="E210">
        <v>32</v>
      </c>
      <c r="F210">
        <v>166</v>
      </c>
      <c r="G210">
        <v>58</v>
      </c>
      <c r="H210">
        <v>21</v>
      </c>
      <c r="I210">
        <v>143</v>
      </c>
      <c r="J210">
        <v>83</v>
      </c>
      <c r="K210">
        <v>87</v>
      </c>
      <c r="L210">
        <v>9.4</v>
      </c>
    </row>
    <row r="211" spans="1:12" x14ac:dyDescent="0.35">
      <c r="A211" t="s">
        <v>12</v>
      </c>
      <c r="B211" t="s">
        <v>13</v>
      </c>
      <c r="C211" t="s">
        <v>14</v>
      </c>
      <c r="D211" t="s">
        <v>18</v>
      </c>
      <c r="E211">
        <v>46</v>
      </c>
      <c r="F211">
        <v>171</v>
      </c>
      <c r="G211">
        <v>74</v>
      </c>
      <c r="H211">
        <v>25.3</v>
      </c>
      <c r="I211">
        <v>136</v>
      </c>
      <c r="J211">
        <v>87</v>
      </c>
      <c r="K211">
        <v>67</v>
      </c>
      <c r="L211">
        <v>8.6</v>
      </c>
    </row>
    <row r="212" spans="1:12" x14ac:dyDescent="0.35">
      <c r="A212" t="s">
        <v>12</v>
      </c>
      <c r="B212" t="s">
        <v>24</v>
      </c>
      <c r="C212" t="s">
        <v>14</v>
      </c>
      <c r="D212" t="s">
        <v>15</v>
      </c>
      <c r="E212">
        <v>54</v>
      </c>
      <c r="F212">
        <v>170</v>
      </c>
      <c r="G212">
        <v>81</v>
      </c>
      <c r="H212">
        <v>28</v>
      </c>
      <c r="I212">
        <v>110</v>
      </c>
      <c r="J212">
        <v>83</v>
      </c>
      <c r="K212">
        <v>61</v>
      </c>
      <c r="L212">
        <v>8</v>
      </c>
    </row>
    <row r="213" spans="1:12" x14ac:dyDescent="0.35">
      <c r="A213" t="s">
        <v>12</v>
      </c>
      <c r="B213" t="s">
        <v>22</v>
      </c>
      <c r="C213" t="s">
        <v>14</v>
      </c>
      <c r="D213" t="s">
        <v>18</v>
      </c>
      <c r="E213">
        <v>59</v>
      </c>
      <c r="F213">
        <v>166</v>
      </c>
      <c r="G213">
        <v>69</v>
      </c>
      <c r="H213">
        <v>25</v>
      </c>
      <c r="I213">
        <v>117</v>
      </c>
      <c r="J213">
        <v>89</v>
      </c>
      <c r="K213">
        <v>82</v>
      </c>
      <c r="L213">
        <v>9.5</v>
      </c>
    </row>
    <row r="214" spans="1:12" x14ac:dyDescent="0.35">
      <c r="A214" t="s">
        <v>12</v>
      </c>
      <c r="B214" t="s">
        <v>22</v>
      </c>
      <c r="C214" t="s">
        <v>14</v>
      </c>
      <c r="D214" t="s">
        <v>26</v>
      </c>
      <c r="E214">
        <v>29</v>
      </c>
      <c r="F214">
        <v>162</v>
      </c>
      <c r="G214">
        <v>60</v>
      </c>
      <c r="H214">
        <v>22.9</v>
      </c>
      <c r="I214">
        <v>132</v>
      </c>
      <c r="J214">
        <v>90</v>
      </c>
      <c r="K214">
        <v>67</v>
      </c>
      <c r="L214">
        <v>8.3000000000000007</v>
      </c>
    </row>
    <row r="215" spans="1:12" x14ac:dyDescent="0.35">
      <c r="A215" t="s">
        <v>12</v>
      </c>
      <c r="B215" t="s">
        <v>25</v>
      </c>
      <c r="C215" t="s">
        <v>14</v>
      </c>
      <c r="D215" t="s">
        <v>20</v>
      </c>
      <c r="E215">
        <v>32</v>
      </c>
      <c r="F215">
        <v>174</v>
      </c>
      <c r="G215">
        <v>68</v>
      </c>
      <c r="H215">
        <v>22.5</v>
      </c>
      <c r="I215">
        <v>147</v>
      </c>
      <c r="J215">
        <v>93</v>
      </c>
      <c r="K215">
        <v>75</v>
      </c>
      <c r="L215">
        <v>9.6999999999999993</v>
      </c>
    </row>
    <row r="216" spans="1:12" x14ac:dyDescent="0.35">
      <c r="A216" t="s">
        <v>12</v>
      </c>
      <c r="B216" t="s">
        <v>13</v>
      </c>
      <c r="C216" t="s">
        <v>14</v>
      </c>
      <c r="D216" t="s">
        <v>26</v>
      </c>
      <c r="E216">
        <v>43</v>
      </c>
      <c r="F216">
        <v>157</v>
      </c>
      <c r="G216">
        <v>65</v>
      </c>
      <c r="H216">
        <v>26.4</v>
      </c>
      <c r="I216">
        <v>115</v>
      </c>
      <c r="J216">
        <v>84</v>
      </c>
      <c r="K216">
        <v>86</v>
      </c>
      <c r="L216">
        <v>9.8000000000000007</v>
      </c>
    </row>
    <row r="217" spans="1:12" x14ac:dyDescent="0.35">
      <c r="A217" t="s">
        <v>12</v>
      </c>
      <c r="B217" t="s">
        <v>24</v>
      </c>
      <c r="C217" t="s">
        <v>14</v>
      </c>
      <c r="D217" t="s">
        <v>20</v>
      </c>
      <c r="E217">
        <v>45</v>
      </c>
      <c r="F217">
        <v>170</v>
      </c>
      <c r="G217">
        <v>93</v>
      </c>
      <c r="H217">
        <v>32.200000000000003</v>
      </c>
      <c r="I217">
        <v>131</v>
      </c>
      <c r="J217">
        <v>91</v>
      </c>
      <c r="K217">
        <v>81</v>
      </c>
      <c r="L217">
        <v>9.6</v>
      </c>
    </row>
    <row r="218" spans="1:12" x14ac:dyDescent="0.35">
      <c r="A218" t="s">
        <v>16</v>
      </c>
      <c r="B218" t="s">
        <v>25</v>
      </c>
      <c r="C218" t="s">
        <v>14</v>
      </c>
      <c r="D218" t="s">
        <v>18</v>
      </c>
      <c r="E218">
        <v>38</v>
      </c>
      <c r="F218">
        <v>184</v>
      </c>
      <c r="G218">
        <v>63</v>
      </c>
      <c r="H218">
        <v>18.600000000000001</v>
      </c>
      <c r="I218">
        <v>134</v>
      </c>
      <c r="J218">
        <v>73</v>
      </c>
      <c r="K218">
        <v>64</v>
      </c>
      <c r="L218">
        <v>7.6</v>
      </c>
    </row>
    <row r="219" spans="1:12" x14ac:dyDescent="0.35">
      <c r="A219" t="s">
        <v>12</v>
      </c>
      <c r="B219" t="s">
        <v>21</v>
      </c>
      <c r="C219" t="s">
        <v>14</v>
      </c>
      <c r="D219" t="s">
        <v>26</v>
      </c>
      <c r="E219">
        <v>33</v>
      </c>
      <c r="F219">
        <v>177</v>
      </c>
      <c r="G219">
        <v>80</v>
      </c>
      <c r="H219">
        <v>25.5</v>
      </c>
      <c r="I219">
        <v>127</v>
      </c>
      <c r="J219">
        <v>82</v>
      </c>
      <c r="K219">
        <v>86</v>
      </c>
      <c r="L219">
        <v>9.5</v>
      </c>
    </row>
    <row r="220" spans="1:12" x14ac:dyDescent="0.35">
      <c r="A220" t="s">
        <v>16</v>
      </c>
      <c r="B220" t="s">
        <v>25</v>
      </c>
      <c r="C220" t="s">
        <v>14</v>
      </c>
      <c r="D220" t="s">
        <v>18</v>
      </c>
      <c r="E220">
        <v>53</v>
      </c>
      <c r="F220">
        <v>182</v>
      </c>
      <c r="G220">
        <v>70</v>
      </c>
      <c r="H220">
        <v>21.1</v>
      </c>
      <c r="I220">
        <v>126</v>
      </c>
      <c r="J220">
        <v>92</v>
      </c>
      <c r="K220">
        <v>84</v>
      </c>
      <c r="L220">
        <v>8.5</v>
      </c>
    </row>
    <row r="221" spans="1:12" x14ac:dyDescent="0.35">
      <c r="A221" t="s">
        <v>12</v>
      </c>
      <c r="B221" t="s">
        <v>25</v>
      </c>
      <c r="C221" t="s">
        <v>14</v>
      </c>
      <c r="D221" t="s">
        <v>20</v>
      </c>
      <c r="E221">
        <v>36</v>
      </c>
      <c r="F221">
        <v>159</v>
      </c>
      <c r="G221">
        <v>59</v>
      </c>
      <c r="H221">
        <v>23.3</v>
      </c>
      <c r="I221">
        <v>121</v>
      </c>
      <c r="J221">
        <v>77</v>
      </c>
      <c r="K221">
        <v>88</v>
      </c>
      <c r="L221">
        <v>9.6999999999999993</v>
      </c>
    </row>
    <row r="222" spans="1:12" x14ac:dyDescent="0.35">
      <c r="A222" t="s">
        <v>12</v>
      </c>
      <c r="B222" t="s">
        <v>13</v>
      </c>
      <c r="C222" t="s">
        <v>14</v>
      </c>
      <c r="D222" t="s">
        <v>15</v>
      </c>
      <c r="E222">
        <v>37</v>
      </c>
      <c r="F222">
        <v>174</v>
      </c>
      <c r="G222">
        <v>64</v>
      </c>
      <c r="H222">
        <v>21.1</v>
      </c>
      <c r="I222">
        <v>115</v>
      </c>
      <c r="J222">
        <v>87</v>
      </c>
      <c r="K222">
        <v>62</v>
      </c>
      <c r="L222">
        <v>9.1</v>
      </c>
    </row>
    <row r="223" spans="1:12" x14ac:dyDescent="0.35">
      <c r="A223" t="s">
        <v>12</v>
      </c>
      <c r="B223" t="s">
        <v>21</v>
      </c>
      <c r="C223" t="s">
        <v>14</v>
      </c>
      <c r="D223" t="s">
        <v>15</v>
      </c>
      <c r="E223">
        <v>43</v>
      </c>
      <c r="F223">
        <v>155</v>
      </c>
      <c r="G223">
        <v>57</v>
      </c>
      <c r="H223">
        <v>23.7</v>
      </c>
      <c r="I223">
        <v>135</v>
      </c>
      <c r="J223">
        <v>81</v>
      </c>
      <c r="K223">
        <v>71</v>
      </c>
      <c r="L223">
        <v>9.6</v>
      </c>
    </row>
    <row r="224" spans="1:12" x14ac:dyDescent="0.35">
      <c r="A224" t="s">
        <v>16</v>
      </c>
      <c r="B224" t="s">
        <v>25</v>
      </c>
      <c r="C224" t="s">
        <v>19</v>
      </c>
      <c r="D224" t="s">
        <v>26</v>
      </c>
      <c r="E224">
        <v>49</v>
      </c>
      <c r="F224">
        <v>184</v>
      </c>
      <c r="G224">
        <v>67</v>
      </c>
      <c r="H224">
        <v>19.8</v>
      </c>
      <c r="I224">
        <v>136</v>
      </c>
      <c r="J224">
        <v>92</v>
      </c>
      <c r="K224">
        <v>72</v>
      </c>
      <c r="L224">
        <v>8.6999999999999993</v>
      </c>
    </row>
    <row r="225" spans="1:12" x14ac:dyDescent="0.35">
      <c r="A225" t="s">
        <v>16</v>
      </c>
      <c r="B225" t="s">
        <v>24</v>
      </c>
      <c r="C225" t="s">
        <v>14</v>
      </c>
      <c r="D225" t="s">
        <v>18</v>
      </c>
      <c r="E225">
        <v>41</v>
      </c>
      <c r="F225">
        <v>175</v>
      </c>
      <c r="G225">
        <v>97</v>
      </c>
      <c r="H225">
        <v>31.7</v>
      </c>
      <c r="I225">
        <v>117</v>
      </c>
      <c r="J225">
        <v>83</v>
      </c>
      <c r="K225">
        <v>72</v>
      </c>
      <c r="L225">
        <v>8.8000000000000007</v>
      </c>
    </row>
    <row r="226" spans="1:12" x14ac:dyDescent="0.35">
      <c r="A226" t="s">
        <v>16</v>
      </c>
      <c r="B226" t="s">
        <v>24</v>
      </c>
      <c r="C226" t="s">
        <v>23</v>
      </c>
      <c r="D226" t="s">
        <v>18</v>
      </c>
      <c r="E226">
        <v>54</v>
      </c>
      <c r="F226">
        <v>174</v>
      </c>
      <c r="G226">
        <v>84</v>
      </c>
      <c r="H226">
        <v>27.7</v>
      </c>
      <c r="I226">
        <v>128</v>
      </c>
      <c r="J226">
        <v>71</v>
      </c>
      <c r="K226">
        <v>69</v>
      </c>
      <c r="L226">
        <v>7.9</v>
      </c>
    </row>
    <row r="227" spans="1:12" x14ac:dyDescent="0.35">
      <c r="A227" t="s">
        <v>16</v>
      </c>
      <c r="B227" t="s">
        <v>22</v>
      </c>
      <c r="C227" t="s">
        <v>14</v>
      </c>
      <c r="D227" t="s">
        <v>26</v>
      </c>
      <c r="E227">
        <v>31</v>
      </c>
      <c r="F227">
        <v>160</v>
      </c>
      <c r="G227">
        <v>99</v>
      </c>
      <c r="H227">
        <v>38.700000000000003</v>
      </c>
      <c r="I227">
        <v>110</v>
      </c>
      <c r="J227">
        <v>87</v>
      </c>
      <c r="K227">
        <v>63</v>
      </c>
      <c r="L227">
        <v>9.5</v>
      </c>
    </row>
    <row r="228" spans="1:12" x14ac:dyDescent="0.35">
      <c r="A228" t="s">
        <v>12</v>
      </c>
      <c r="B228" t="s">
        <v>21</v>
      </c>
      <c r="C228" t="s">
        <v>14</v>
      </c>
      <c r="D228" t="s">
        <v>15</v>
      </c>
      <c r="E228">
        <v>53</v>
      </c>
      <c r="F228">
        <v>176</v>
      </c>
      <c r="G228">
        <v>60</v>
      </c>
      <c r="H228">
        <v>19.399999999999999</v>
      </c>
      <c r="I228">
        <v>138</v>
      </c>
      <c r="J228">
        <v>93</v>
      </c>
      <c r="K228">
        <v>68</v>
      </c>
      <c r="L228">
        <v>8.5</v>
      </c>
    </row>
    <row r="229" spans="1:12" x14ac:dyDescent="0.35">
      <c r="A229" t="s">
        <v>16</v>
      </c>
      <c r="B229" t="s">
        <v>21</v>
      </c>
      <c r="C229" t="s">
        <v>23</v>
      </c>
      <c r="D229" t="s">
        <v>20</v>
      </c>
      <c r="E229">
        <v>54</v>
      </c>
      <c r="F229">
        <v>172</v>
      </c>
      <c r="G229">
        <v>71</v>
      </c>
      <c r="H229">
        <v>24</v>
      </c>
      <c r="I229">
        <v>144</v>
      </c>
      <c r="J229">
        <v>71</v>
      </c>
      <c r="K229">
        <v>81</v>
      </c>
      <c r="L229">
        <v>8.8000000000000007</v>
      </c>
    </row>
    <row r="230" spans="1:12" x14ac:dyDescent="0.35">
      <c r="A230" t="s">
        <v>12</v>
      </c>
      <c r="B230" t="s">
        <v>22</v>
      </c>
      <c r="C230" t="s">
        <v>14</v>
      </c>
      <c r="D230" t="s">
        <v>26</v>
      </c>
      <c r="E230">
        <v>23</v>
      </c>
      <c r="F230">
        <v>162</v>
      </c>
      <c r="G230">
        <v>99</v>
      </c>
      <c r="H230">
        <v>37.700000000000003</v>
      </c>
      <c r="I230">
        <v>149</v>
      </c>
      <c r="J230">
        <v>80</v>
      </c>
      <c r="K230">
        <v>83</v>
      </c>
      <c r="L230">
        <v>9.5</v>
      </c>
    </row>
    <row r="231" spans="1:12" x14ac:dyDescent="0.35">
      <c r="A231" t="s">
        <v>12</v>
      </c>
      <c r="B231" t="s">
        <v>25</v>
      </c>
      <c r="C231" t="s">
        <v>14</v>
      </c>
      <c r="D231" t="s">
        <v>20</v>
      </c>
      <c r="E231">
        <v>54</v>
      </c>
      <c r="F231">
        <v>186</v>
      </c>
      <c r="G231">
        <v>73</v>
      </c>
      <c r="H231">
        <v>21.1</v>
      </c>
      <c r="I231">
        <v>123</v>
      </c>
      <c r="J231">
        <v>78</v>
      </c>
      <c r="K231">
        <v>82</v>
      </c>
      <c r="L231">
        <v>9</v>
      </c>
    </row>
    <row r="232" spans="1:12" x14ac:dyDescent="0.35">
      <c r="A232" t="s">
        <v>16</v>
      </c>
      <c r="B232" t="s">
        <v>21</v>
      </c>
      <c r="C232" t="s">
        <v>14</v>
      </c>
      <c r="D232" t="s">
        <v>15</v>
      </c>
      <c r="E232">
        <v>54</v>
      </c>
      <c r="F232">
        <v>187</v>
      </c>
      <c r="G232">
        <v>96</v>
      </c>
      <c r="H232">
        <v>27.5</v>
      </c>
      <c r="I232">
        <v>144</v>
      </c>
      <c r="J232">
        <v>81</v>
      </c>
      <c r="K232">
        <v>86</v>
      </c>
      <c r="L232">
        <v>8</v>
      </c>
    </row>
    <row r="233" spans="1:12" x14ac:dyDescent="0.35">
      <c r="A233" t="s">
        <v>16</v>
      </c>
      <c r="B233" t="s">
        <v>24</v>
      </c>
      <c r="C233" t="s">
        <v>14</v>
      </c>
      <c r="D233" t="s">
        <v>18</v>
      </c>
      <c r="E233">
        <v>34</v>
      </c>
      <c r="F233">
        <v>170</v>
      </c>
      <c r="G233">
        <v>89</v>
      </c>
      <c r="H233">
        <v>30.8</v>
      </c>
      <c r="I233">
        <v>129</v>
      </c>
      <c r="J233">
        <v>86</v>
      </c>
      <c r="K233">
        <v>61</v>
      </c>
      <c r="L233">
        <v>9</v>
      </c>
    </row>
    <row r="234" spans="1:12" x14ac:dyDescent="0.35">
      <c r="A234" t="s">
        <v>16</v>
      </c>
      <c r="B234" t="s">
        <v>24</v>
      </c>
      <c r="C234" t="s">
        <v>19</v>
      </c>
      <c r="D234" t="s">
        <v>15</v>
      </c>
      <c r="E234">
        <v>51</v>
      </c>
      <c r="F234">
        <v>166</v>
      </c>
      <c r="G234">
        <v>80</v>
      </c>
      <c r="H234">
        <v>29</v>
      </c>
      <c r="I234">
        <v>122</v>
      </c>
      <c r="J234">
        <v>84</v>
      </c>
      <c r="K234">
        <v>78</v>
      </c>
      <c r="L234">
        <v>8.5</v>
      </c>
    </row>
    <row r="235" spans="1:12" x14ac:dyDescent="0.35">
      <c r="A235" t="s">
        <v>16</v>
      </c>
      <c r="B235" t="s">
        <v>13</v>
      </c>
      <c r="C235" t="s">
        <v>23</v>
      </c>
      <c r="D235" t="s">
        <v>26</v>
      </c>
      <c r="E235">
        <v>54</v>
      </c>
      <c r="F235">
        <v>188</v>
      </c>
      <c r="G235">
        <v>59</v>
      </c>
      <c r="H235">
        <v>16.7</v>
      </c>
      <c r="I235">
        <v>147</v>
      </c>
      <c r="J235">
        <v>94</v>
      </c>
      <c r="K235">
        <v>60</v>
      </c>
      <c r="L235">
        <v>8.6999999999999993</v>
      </c>
    </row>
    <row r="236" spans="1:12" x14ac:dyDescent="0.35">
      <c r="A236" t="s">
        <v>16</v>
      </c>
      <c r="B236" t="s">
        <v>21</v>
      </c>
      <c r="C236" t="s">
        <v>19</v>
      </c>
      <c r="D236" t="s">
        <v>18</v>
      </c>
      <c r="E236">
        <v>34</v>
      </c>
      <c r="F236">
        <v>168</v>
      </c>
      <c r="G236">
        <v>83</v>
      </c>
      <c r="H236">
        <v>29.4</v>
      </c>
      <c r="I236">
        <v>117</v>
      </c>
      <c r="J236">
        <v>86</v>
      </c>
      <c r="K236">
        <v>84</v>
      </c>
      <c r="L236">
        <v>7.6</v>
      </c>
    </row>
    <row r="237" spans="1:12" x14ac:dyDescent="0.35">
      <c r="A237" t="s">
        <v>16</v>
      </c>
      <c r="B237" t="s">
        <v>25</v>
      </c>
      <c r="C237" t="s">
        <v>14</v>
      </c>
      <c r="D237" t="s">
        <v>26</v>
      </c>
      <c r="E237">
        <v>47</v>
      </c>
      <c r="F237">
        <v>187</v>
      </c>
      <c r="G237">
        <v>91</v>
      </c>
      <c r="H237">
        <v>26</v>
      </c>
      <c r="I237">
        <v>129</v>
      </c>
      <c r="J237">
        <v>87</v>
      </c>
      <c r="K237">
        <v>88</v>
      </c>
      <c r="L237">
        <v>8</v>
      </c>
    </row>
    <row r="238" spans="1:12" x14ac:dyDescent="0.35">
      <c r="A238" t="s">
        <v>16</v>
      </c>
      <c r="B238" t="s">
        <v>22</v>
      </c>
      <c r="C238" t="s">
        <v>23</v>
      </c>
      <c r="D238" t="s">
        <v>26</v>
      </c>
      <c r="E238">
        <v>43</v>
      </c>
      <c r="F238">
        <v>177</v>
      </c>
      <c r="G238">
        <v>74</v>
      </c>
      <c r="H238">
        <v>23.6</v>
      </c>
      <c r="I238">
        <v>142</v>
      </c>
      <c r="J238">
        <v>91</v>
      </c>
      <c r="K238">
        <v>66</v>
      </c>
      <c r="L238">
        <v>8.1999999999999993</v>
      </c>
    </row>
    <row r="239" spans="1:12" x14ac:dyDescent="0.35">
      <c r="A239" t="s">
        <v>16</v>
      </c>
      <c r="B239" t="s">
        <v>22</v>
      </c>
      <c r="C239" t="s">
        <v>19</v>
      </c>
      <c r="D239" t="s">
        <v>15</v>
      </c>
      <c r="E239">
        <v>23</v>
      </c>
      <c r="F239">
        <v>156</v>
      </c>
      <c r="G239">
        <v>75</v>
      </c>
      <c r="H239">
        <v>30.8</v>
      </c>
      <c r="I239">
        <v>135</v>
      </c>
      <c r="J239">
        <v>75</v>
      </c>
      <c r="K239">
        <v>76</v>
      </c>
      <c r="L239">
        <v>9.3000000000000007</v>
      </c>
    </row>
    <row r="240" spans="1:12" x14ac:dyDescent="0.35">
      <c r="A240" t="s">
        <v>12</v>
      </c>
      <c r="B240" t="s">
        <v>25</v>
      </c>
      <c r="C240" t="s">
        <v>14</v>
      </c>
      <c r="D240" t="s">
        <v>26</v>
      </c>
      <c r="E240">
        <v>59</v>
      </c>
      <c r="F240">
        <v>175</v>
      </c>
      <c r="G240">
        <v>64</v>
      </c>
      <c r="H240">
        <v>20.9</v>
      </c>
      <c r="I240">
        <v>148</v>
      </c>
      <c r="J240">
        <v>86</v>
      </c>
      <c r="K240">
        <v>62</v>
      </c>
      <c r="L240">
        <v>7.5</v>
      </c>
    </row>
    <row r="241" spans="1:12" x14ac:dyDescent="0.35">
      <c r="A241" t="s">
        <v>16</v>
      </c>
      <c r="B241" t="s">
        <v>17</v>
      </c>
      <c r="C241" t="s">
        <v>14</v>
      </c>
      <c r="D241" t="s">
        <v>15</v>
      </c>
      <c r="E241">
        <v>47</v>
      </c>
      <c r="F241">
        <v>156</v>
      </c>
      <c r="G241">
        <v>59</v>
      </c>
      <c r="H241">
        <v>24.2</v>
      </c>
      <c r="I241">
        <v>130</v>
      </c>
      <c r="J241">
        <v>92</v>
      </c>
      <c r="K241">
        <v>79</v>
      </c>
      <c r="L241">
        <v>8.5</v>
      </c>
    </row>
    <row r="242" spans="1:12" x14ac:dyDescent="0.35">
      <c r="A242" t="s">
        <v>16</v>
      </c>
      <c r="B242" t="s">
        <v>13</v>
      </c>
      <c r="C242" t="s">
        <v>23</v>
      </c>
      <c r="D242" t="s">
        <v>18</v>
      </c>
      <c r="E242">
        <v>36</v>
      </c>
      <c r="F242">
        <v>181</v>
      </c>
      <c r="G242">
        <v>90</v>
      </c>
      <c r="H242">
        <v>27.5</v>
      </c>
      <c r="I242">
        <v>118</v>
      </c>
      <c r="J242">
        <v>93</v>
      </c>
      <c r="K242">
        <v>79</v>
      </c>
      <c r="L242">
        <v>9.8000000000000007</v>
      </c>
    </row>
    <row r="243" spans="1:12" x14ac:dyDescent="0.35">
      <c r="A243" t="s">
        <v>12</v>
      </c>
      <c r="B243" t="s">
        <v>22</v>
      </c>
      <c r="C243" t="s">
        <v>14</v>
      </c>
      <c r="D243" t="s">
        <v>15</v>
      </c>
      <c r="E243">
        <v>55</v>
      </c>
      <c r="F243">
        <v>163</v>
      </c>
      <c r="G243">
        <v>60</v>
      </c>
      <c r="H243">
        <v>22.6</v>
      </c>
      <c r="I243">
        <v>133</v>
      </c>
      <c r="J243">
        <v>87</v>
      </c>
      <c r="K243">
        <v>80</v>
      </c>
      <c r="L243">
        <v>7.8</v>
      </c>
    </row>
    <row r="244" spans="1:12" x14ac:dyDescent="0.35">
      <c r="A244" t="s">
        <v>16</v>
      </c>
      <c r="B244" t="s">
        <v>21</v>
      </c>
      <c r="C244" t="s">
        <v>23</v>
      </c>
      <c r="D244" t="s">
        <v>18</v>
      </c>
      <c r="E244">
        <v>32</v>
      </c>
      <c r="F244">
        <v>155</v>
      </c>
      <c r="G244">
        <v>80</v>
      </c>
      <c r="H244">
        <v>33.299999999999997</v>
      </c>
      <c r="I244">
        <v>146</v>
      </c>
      <c r="J244">
        <v>77</v>
      </c>
      <c r="K244">
        <v>89</v>
      </c>
      <c r="L244">
        <v>8.8000000000000007</v>
      </c>
    </row>
    <row r="245" spans="1:12" x14ac:dyDescent="0.35">
      <c r="A245" t="s">
        <v>12</v>
      </c>
      <c r="B245" t="s">
        <v>13</v>
      </c>
      <c r="C245" t="s">
        <v>14</v>
      </c>
      <c r="D245" t="s">
        <v>15</v>
      </c>
      <c r="E245">
        <v>24</v>
      </c>
      <c r="F245">
        <v>165</v>
      </c>
      <c r="G245">
        <v>58</v>
      </c>
      <c r="H245">
        <v>21.3</v>
      </c>
      <c r="I245">
        <v>126</v>
      </c>
      <c r="J245">
        <v>78</v>
      </c>
      <c r="K245">
        <v>62</v>
      </c>
      <c r="L245">
        <v>9.5</v>
      </c>
    </row>
    <row r="246" spans="1:12" x14ac:dyDescent="0.35">
      <c r="A246" t="s">
        <v>12</v>
      </c>
      <c r="B246" t="s">
        <v>21</v>
      </c>
      <c r="C246" t="s">
        <v>23</v>
      </c>
      <c r="D246" t="s">
        <v>20</v>
      </c>
      <c r="E246">
        <v>27</v>
      </c>
      <c r="F246">
        <v>157</v>
      </c>
      <c r="G246">
        <v>93</v>
      </c>
      <c r="H246">
        <v>37.700000000000003</v>
      </c>
      <c r="I246">
        <v>133</v>
      </c>
      <c r="J246">
        <v>75</v>
      </c>
      <c r="K246">
        <v>62</v>
      </c>
      <c r="L246">
        <v>9.9</v>
      </c>
    </row>
    <row r="247" spans="1:12" x14ac:dyDescent="0.35">
      <c r="A247" t="s">
        <v>16</v>
      </c>
      <c r="B247" t="s">
        <v>24</v>
      </c>
      <c r="C247" t="s">
        <v>14</v>
      </c>
      <c r="D247" t="s">
        <v>20</v>
      </c>
      <c r="E247">
        <v>30</v>
      </c>
      <c r="F247">
        <v>177</v>
      </c>
      <c r="G247">
        <v>93</v>
      </c>
      <c r="H247">
        <v>29.7</v>
      </c>
      <c r="I247">
        <v>130</v>
      </c>
      <c r="J247">
        <v>74</v>
      </c>
      <c r="K247">
        <v>76</v>
      </c>
      <c r="L247">
        <v>9.4</v>
      </c>
    </row>
    <row r="248" spans="1:12" x14ac:dyDescent="0.35">
      <c r="A248" t="s">
        <v>12</v>
      </c>
      <c r="B248" t="s">
        <v>13</v>
      </c>
      <c r="C248" t="s">
        <v>14</v>
      </c>
      <c r="D248" t="s">
        <v>26</v>
      </c>
      <c r="E248">
        <v>27</v>
      </c>
      <c r="F248">
        <v>180</v>
      </c>
      <c r="G248">
        <v>89</v>
      </c>
      <c r="H248">
        <v>27.5</v>
      </c>
      <c r="I248">
        <v>148</v>
      </c>
      <c r="J248">
        <v>81</v>
      </c>
      <c r="K248">
        <v>66</v>
      </c>
      <c r="L248">
        <v>9.3000000000000007</v>
      </c>
    </row>
    <row r="249" spans="1:12" x14ac:dyDescent="0.35">
      <c r="A249" t="s">
        <v>12</v>
      </c>
      <c r="B249" t="s">
        <v>22</v>
      </c>
      <c r="C249" t="s">
        <v>14</v>
      </c>
      <c r="D249" t="s">
        <v>15</v>
      </c>
      <c r="E249">
        <v>30</v>
      </c>
      <c r="F249">
        <v>158</v>
      </c>
      <c r="G249">
        <v>55</v>
      </c>
      <c r="H249">
        <v>22</v>
      </c>
      <c r="I249">
        <v>148</v>
      </c>
      <c r="J249">
        <v>94</v>
      </c>
      <c r="K249">
        <v>86</v>
      </c>
      <c r="L249">
        <v>9.6</v>
      </c>
    </row>
    <row r="250" spans="1:12" x14ac:dyDescent="0.35">
      <c r="A250" t="s">
        <v>12</v>
      </c>
      <c r="B250" t="s">
        <v>13</v>
      </c>
      <c r="C250" t="s">
        <v>23</v>
      </c>
      <c r="D250" t="s">
        <v>15</v>
      </c>
      <c r="E250">
        <v>52</v>
      </c>
      <c r="F250">
        <v>172</v>
      </c>
      <c r="G250">
        <v>78</v>
      </c>
      <c r="H250">
        <v>26.4</v>
      </c>
      <c r="I250">
        <v>122</v>
      </c>
      <c r="J250">
        <v>80</v>
      </c>
      <c r="K250">
        <v>85</v>
      </c>
      <c r="L250">
        <v>8.6</v>
      </c>
    </row>
    <row r="251" spans="1:12" x14ac:dyDescent="0.35">
      <c r="A251" t="s">
        <v>12</v>
      </c>
      <c r="B251" t="s">
        <v>13</v>
      </c>
      <c r="C251" t="s">
        <v>14</v>
      </c>
      <c r="D251" t="s">
        <v>18</v>
      </c>
      <c r="E251">
        <v>53</v>
      </c>
      <c r="F251">
        <v>160</v>
      </c>
      <c r="G251">
        <v>90</v>
      </c>
      <c r="H251">
        <v>35.200000000000003</v>
      </c>
      <c r="I251">
        <v>120</v>
      </c>
      <c r="J251">
        <v>94</v>
      </c>
      <c r="K251">
        <v>73</v>
      </c>
      <c r="L251">
        <v>9.5</v>
      </c>
    </row>
    <row r="252" spans="1:12" x14ac:dyDescent="0.35">
      <c r="A252" t="s">
        <v>16</v>
      </c>
      <c r="B252" t="s">
        <v>13</v>
      </c>
      <c r="C252" t="s">
        <v>14</v>
      </c>
      <c r="D252" t="s">
        <v>26</v>
      </c>
      <c r="E252">
        <v>33</v>
      </c>
      <c r="F252">
        <v>189</v>
      </c>
      <c r="G252">
        <v>60</v>
      </c>
      <c r="H252">
        <v>16.8</v>
      </c>
      <c r="I252">
        <v>128</v>
      </c>
      <c r="J252">
        <v>70</v>
      </c>
      <c r="K252">
        <v>76</v>
      </c>
      <c r="L252">
        <v>7.5</v>
      </c>
    </row>
    <row r="253" spans="1:12" x14ac:dyDescent="0.35">
      <c r="A253" t="s">
        <v>12</v>
      </c>
      <c r="B253" t="s">
        <v>17</v>
      </c>
      <c r="C253" t="s">
        <v>14</v>
      </c>
      <c r="D253" t="s">
        <v>15</v>
      </c>
      <c r="E253">
        <v>29</v>
      </c>
      <c r="F253">
        <v>176</v>
      </c>
      <c r="G253">
        <v>95</v>
      </c>
      <c r="H253">
        <v>30.7</v>
      </c>
      <c r="I253">
        <v>120</v>
      </c>
      <c r="J253">
        <v>80</v>
      </c>
      <c r="K253">
        <v>77</v>
      </c>
      <c r="L253">
        <v>9.8000000000000007</v>
      </c>
    </row>
    <row r="254" spans="1:12" x14ac:dyDescent="0.35">
      <c r="A254" t="s">
        <v>16</v>
      </c>
      <c r="B254" t="s">
        <v>13</v>
      </c>
      <c r="C254" t="s">
        <v>23</v>
      </c>
      <c r="D254" t="s">
        <v>26</v>
      </c>
      <c r="E254">
        <v>29</v>
      </c>
      <c r="F254">
        <v>169</v>
      </c>
      <c r="G254">
        <v>98</v>
      </c>
      <c r="H254">
        <v>34.299999999999997</v>
      </c>
      <c r="I254">
        <v>122</v>
      </c>
      <c r="J254">
        <v>88</v>
      </c>
      <c r="K254">
        <v>72</v>
      </c>
      <c r="L254">
        <v>8.6</v>
      </c>
    </row>
    <row r="255" spans="1:12" x14ac:dyDescent="0.35">
      <c r="A255" t="s">
        <v>12</v>
      </c>
      <c r="B255" t="s">
        <v>21</v>
      </c>
      <c r="C255" t="s">
        <v>14</v>
      </c>
      <c r="D255" t="s">
        <v>20</v>
      </c>
      <c r="E255">
        <v>49</v>
      </c>
      <c r="F255">
        <v>176</v>
      </c>
      <c r="G255">
        <v>85</v>
      </c>
      <c r="H255">
        <v>27.4</v>
      </c>
      <c r="I255">
        <v>110</v>
      </c>
      <c r="J255">
        <v>78</v>
      </c>
      <c r="K255">
        <v>79</v>
      </c>
      <c r="L255">
        <v>8.9</v>
      </c>
    </row>
    <row r="256" spans="1:12" x14ac:dyDescent="0.35">
      <c r="A256" t="s">
        <v>12</v>
      </c>
      <c r="B256" t="s">
        <v>24</v>
      </c>
      <c r="C256" t="s">
        <v>23</v>
      </c>
      <c r="D256" t="s">
        <v>15</v>
      </c>
      <c r="E256">
        <v>41</v>
      </c>
      <c r="F256">
        <v>166</v>
      </c>
      <c r="G256">
        <v>74</v>
      </c>
      <c r="H256">
        <v>26.9</v>
      </c>
      <c r="I256">
        <v>149</v>
      </c>
      <c r="J256">
        <v>71</v>
      </c>
      <c r="K256">
        <v>88</v>
      </c>
      <c r="L256">
        <v>8.1</v>
      </c>
    </row>
    <row r="257" spans="1:12" x14ac:dyDescent="0.35">
      <c r="A257" t="s">
        <v>12</v>
      </c>
      <c r="B257" t="s">
        <v>25</v>
      </c>
      <c r="C257" t="s">
        <v>14</v>
      </c>
      <c r="D257" t="s">
        <v>15</v>
      </c>
      <c r="E257">
        <v>28</v>
      </c>
      <c r="F257">
        <v>172</v>
      </c>
      <c r="G257">
        <v>78</v>
      </c>
      <c r="H257">
        <v>26.4</v>
      </c>
      <c r="I257">
        <v>128</v>
      </c>
      <c r="J257">
        <v>81</v>
      </c>
      <c r="K257">
        <v>79</v>
      </c>
      <c r="L257">
        <v>9.4</v>
      </c>
    </row>
    <row r="258" spans="1:12" x14ac:dyDescent="0.35">
      <c r="A258" t="s">
        <v>12</v>
      </c>
      <c r="B258" t="s">
        <v>13</v>
      </c>
      <c r="C258" t="s">
        <v>14</v>
      </c>
      <c r="D258" t="s">
        <v>26</v>
      </c>
      <c r="E258">
        <v>32</v>
      </c>
      <c r="F258">
        <v>189</v>
      </c>
      <c r="G258">
        <v>79</v>
      </c>
      <c r="H258">
        <v>22.1</v>
      </c>
      <c r="I258">
        <v>121</v>
      </c>
      <c r="J258">
        <v>73</v>
      </c>
      <c r="K258">
        <v>80</v>
      </c>
      <c r="L258">
        <v>7.7</v>
      </c>
    </row>
    <row r="259" spans="1:12" x14ac:dyDescent="0.35">
      <c r="A259" t="s">
        <v>16</v>
      </c>
      <c r="B259" t="s">
        <v>22</v>
      </c>
      <c r="C259" t="s">
        <v>14</v>
      </c>
      <c r="D259" t="s">
        <v>15</v>
      </c>
      <c r="E259">
        <v>41</v>
      </c>
      <c r="F259">
        <v>184</v>
      </c>
      <c r="G259">
        <v>90</v>
      </c>
      <c r="H259">
        <v>26.6</v>
      </c>
      <c r="I259">
        <v>117</v>
      </c>
      <c r="J259">
        <v>73</v>
      </c>
      <c r="K259">
        <v>86</v>
      </c>
      <c r="L259">
        <v>9.6999999999999993</v>
      </c>
    </row>
    <row r="260" spans="1:12" x14ac:dyDescent="0.35">
      <c r="A260" t="s">
        <v>16</v>
      </c>
      <c r="B260" t="s">
        <v>13</v>
      </c>
      <c r="C260" t="s">
        <v>14</v>
      </c>
      <c r="D260" t="s">
        <v>26</v>
      </c>
      <c r="E260">
        <v>37</v>
      </c>
      <c r="F260">
        <v>178</v>
      </c>
      <c r="G260">
        <v>75</v>
      </c>
      <c r="H260">
        <v>23.7</v>
      </c>
      <c r="I260">
        <v>117</v>
      </c>
      <c r="J260">
        <v>87</v>
      </c>
      <c r="K260">
        <v>77</v>
      </c>
      <c r="L260">
        <v>9.6</v>
      </c>
    </row>
    <row r="261" spans="1:12" x14ac:dyDescent="0.35">
      <c r="A261" t="s">
        <v>12</v>
      </c>
      <c r="B261" t="s">
        <v>22</v>
      </c>
      <c r="C261" t="s">
        <v>23</v>
      </c>
      <c r="D261" t="s">
        <v>15</v>
      </c>
      <c r="E261">
        <v>25</v>
      </c>
      <c r="F261">
        <v>184</v>
      </c>
      <c r="G261">
        <v>84</v>
      </c>
      <c r="H261">
        <v>24.8</v>
      </c>
      <c r="I261">
        <v>121</v>
      </c>
      <c r="J261">
        <v>84</v>
      </c>
      <c r="K261">
        <v>63</v>
      </c>
      <c r="L261">
        <v>8</v>
      </c>
    </row>
    <row r="262" spans="1:12" x14ac:dyDescent="0.35">
      <c r="A262" t="s">
        <v>12</v>
      </c>
      <c r="B262" t="s">
        <v>21</v>
      </c>
      <c r="C262" t="s">
        <v>14</v>
      </c>
      <c r="D262" t="s">
        <v>18</v>
      </c>
      <c r="E262">
        <v>27</v>
      </c>
      <c r="F262">
        <v>168</v>
      </c>
      <c r="G262">
        <v>78</v>
      </c>
      <c r="H262">
        <v>27.6</v>
      </c>
      <c r="I262">
        <v>142</v>
      </c>
      <c r="J262">
        <v>88</v>
      </c>
      <c r="K262">
        <v>60</v>
      </c>
      <c r="L262">
        <v>9.5</v>
      </c>
    </row>
    <row r="263" spans="1:12" x14ac:dyDescent="0.35">
      <c r="A263" t="s">
        <v>16</v>
      </c>
      <c r="B263" t="s">
        <v>22</v>
      </c>
      <c r="C263" t="s">
        <v>14</v>
      </c>
      <c r="D263" t="s">
        <v>26</v>
      </c>
      <c r="E263">
        <v>43</v>
      </c>
      <c r="F263">
        <v>160</v>
      </c>
      <c r="G263">
        <v>98</v>
      </c>
      <c r="H263">
        <v>38.299999999999997</v>
      </c>
      <c r="I263">
        <v>135</v>
      </c>
      <c r="J263">
        <v>82</v>
      </c>
      <c r="K263">
        <v>77</v>
      </c>
      <c r="L263">
        <v>9.5</v>
      </c>
    </row>
    <row r="264" spans="1:12" x14ac:dyDescent="0.35">
      <c r="A264" t="s">
        <v>12</v>
      </c>
      <c r="B264" t="s">
        <v>25</v>
      </c>
      <c r="C264" t="s">
        <v>23</v>
      </c>
      <c r="D264" t="s">
        <v>15</v>
      </c>
      <c r="E264">
        <v>47</v>
      </c>
      <c r="F264">
        <v>157</v>
      </c>
      <c r="G264">
        <v>96</v>
      </c>
      <c r="H264">
        <v>38.9</v>
      </c>
      <c r="I264">
        <v>148</v>
      </c>
      <c r="J264">
        <v>88</v>
      </c>
      <c r="K264">
        <v>60</v>
      </c>
      <c r="L264">
        <v>9.1</v>
      </c>
    </row>
    <row r="265" spans="1:12" x14ac:dyDescent="0.35">
      <c r="A265" t="s">
        <v>12</v>
      </c>
      <c r="B265" t="s">
        <v>24</v>
      </c>
      <c r="C265" t="s">
        <v>14</v>
      </c>
      <c r="D265" t="s">
        <v>20</v>
      </c>
      <c r="E265">
        <v>24</v>
      </c>
      <c r="F265">
        <v>170</v>
      </c>
      <c r="G265">
        <v>84</v>
      </c>
      <c r="H265">
        <v>29.1</v>
      </c>
      <c r="I265">
        <v>137</v>
      </c>
      <c r="J265">
        <v>86</v>
      </c>
      <c r="K265">
        <v>85</v>
      </c>
      <c r="L265">
        <v>8.4</v>
      </c>
    </row>
    <row r="266" spans="1:12" x14ac:dyDescent="0.35">
      <c r="A266" t="s">
        <v>12</v>
      </c>
      <c r="B266" t="s">
        <v>22</v>
      </c>
      <c r="C266" t="s">
        <v>14</v>
      </c>
      <c r="D266" t="s">
        <v>15</v>
      </c>
      <c r="E266">
        <v>35</v>
      </c>
      <c r="F266">
        <v>161</v>
      </c>
      <c r="G266">
        <v>76</v>
      </c>
      <c r="H266">
        <v>29.3</v>
      </c>
      <c r="I266">
        <v>114</v>
      </c>
      <c r="J266">
        <v>75</v>
      </c>
      <c r="K266">
        <v>85</v>
      </c>
      <c r="L266">
        <v>8.1999999999999993</v>
      </c>
    </row>
    <row r="267" spans="1:12" x14ac:dyDescent="0.35">
      <c r="A267" t="s">
        <v>16</v>
      </c>
      <c r="B267" t="s">
        <v>22</v>
      </c>
      <c r="C267" t="s">
        <v>19</v>
      </c>
      <c r="D267" t="s">
        <v>20</v>
      </c>
      <c r="E267">
        <v>32</v>
      </c>
      <c r="F267">
        <v>168</v>
      </c>
      <c r="G267">
        <v>82</v>
      </c>
      <c r="H267">
        <v>29.1</v>
      </c>
      <c r="I267">
        <v>117</v>
      </c>
      <c r="J267">
        <v>85</v>
      </c>
      <c r="K267">
        <v>72</v>
      </c>
      <c r="L267">
        <v>8.1</v>
      </c>
    </row>
    <row r="268" spans="1:12" x14ac:dyDescent="0.35">
      <c r="A268" t="s">
        <v>16</v>
      </c>
      <c r="B268" t="s">
        <v>24</v>
      </c>
      <c r="C268" t="s">
        <v>14</v>
      </c>
      <c r="D268" t="s">
        <v>20</v>
      </c>
      <c r="E268">
        <v>39</v>
      </c>
      <c r="F268">
        <v>163</v>
      </c>
      <c r="G268">
        <v>61</v>
      </c>
      <c r="H268">
        <v>23</v>
      </c>
      <c r="I268">
        <v>134</v>
      </c>
      <c r="J268">
        <v>93</v>
      </c>
      <c r="K268">
        <v>79</v>
      </c>
      <c r="L268">
        <v>8.3000000000000007</v>
      </c>
    </row>
    <row r="269" spans="1:12" x14ac:dyDescent="0.35">
      <c r="A269" t="s">
        <v>16</v>
      </c>
      <c r="B269" t="s">
        <v>25</v>
      </c>
      <c r="C269" t="s">
        <v>14</v>
      </c>
      <c r="D269" t="s">
        <v>18</v>
      </c>
      <c r="E269">
        <v>33</v>
      </c>
      <c r="F269">
        <v>169</v>
      </c>
      <c r="G269">
        <v>89</v>
      </c>
      <c r="H269">
        <v>31.2</v>
      </c>
      <c r="I269">
        <v>136</v>
      </c>
      <c r="J269">
        <v>81</v>
      </c>
      <c r="K269">
        <v>79</v>
      </c>
      <c r="L269">
        <v>9.8000000000000007</v>
      </c>
    </row>
    <row r="270" spans="1:12" x14ac:dyDescent="0.35">
      <c r="A270" t="s">
        <v>12</v>
      </c>
      <c r="B270" t="s">
        <v>13</v>
      </c>
      <c r="C270" t="s">
        <v>19</v>
      </c>
      <c r="D270" t="s">
        <v>26</v>
      </c>
      <c r="E270">
        <v>44</v>
      </c>
      <c r="F270">
        <v>175</v>
      </c>
      <c r="G270">
        <v>82</v>
      </c>
      <c r="H270">
        <v>26.8</v>
      </c>
      <c r="I270">
        <v>132</v>
      </c>
      <c r="J270">
        <v>88</v>
      </c>
      <c r="K270">
        <v>82</v>
      </c>
      <c r="L270">
        <v>7.7</v>
      </c>
    </row>
    <row r="271" spans="1:12" x14ac:dyDescent="0.35">
      <c r="A271" t="s">
        <v>12</v>
      </c>
      <c r="B271" t="s">
        <v>22</v>
      </c>
      <c r="C271" t="s">
        <v>14</v>
      </c>
      <c r="D271" t="s">
        <v>15</v>
      </c>
      <c r="E271">
        <v>33</v>
      </c>
      <c r="F271">
        <v>189</v>
      </c>
      <c r="G271">
        <v>68</v>
      </c>
      <c r="H271">
        <v>19</v>
      </c>
      <c r="I271">
        <v>139</v>
      </c>
      <c r="J271">
        <v>74</v>
      </c>
      <c r="K271">
        <v>69</v>
      </c>
      <c r="L271">
        <v>9.6</v>
      </c>
    </row>
    <row r="272" spans="1:12" x14ac:dyDescent="0.35">
      <c r="A272" t="s">
        <v>16</v>
      </c>
      <c r="B272" t="s">
        <v>24</v>
      </c>
      <c r="C272" t="s">
        <v>14</v>
      </c>
      <c r="D272" t="s">
        <v>18</v>
      </c>
      <c r="E272">
        <v>34</v>
      </c>
      <c r="F272">
        <v>156</v>
      </c>
      <c r="G272">
        <v>64</v>
      </c>
      <c r="H272">
        <v>26.3</v>
      </c>
      <c r="I272">
        <v>132</v>
      </c>
      <c r="J272">
        <v>86</v>
      </c>
      <c r="K272">
        <v>86</v>
      </c>
      <c r="L272">
        <v>8.4</v>
      </c>
    </row>
    <row r="273" spans="1:12" x14ac:dyDescent="0.35">
      <c r="A273" t="s">
        <v>16</v>
      </c>
      <c r="B273" t="s">
        <v>21</v>
      </c>
      <c r="C273" t="s">
        <v>14</v>
      </c>
      <c r="D273" t="s">
        <v>15</v>
      </c>
      <c r="E273">
        <v>46</v>
      </c>
      <c r="F273">
        <v>181</v>
      </c>
      <c r="G273">
        <v>70</v>
      </c>
      <c r="H273">
        <v>21.4</v>
      </c>
      <c r="I273">
        <v>129</v>
      </c>
      <c r="J273">
        <v>92</v>
      </c>
      <c r="K273">
        <v>70</v>
      </c>
      <c r="L273">
        <v>8.8000000000000007</v>
      </c>
    </row>
    <row r="274" spans="1:12" x14ac:dyDescent="0.35">
      <c r="A274" t="s">
        <v>16</v>
      </c>
      <c r="B274" t="s">
        <v>24</v>
      </c>
      <c r="C274" t="s">
        <v>23</v>
      </c>
      <c r="D274" t="s">
        <v>20</v>
      </c>
      <c r="E274">
        <v>40</v>
      </c>
      <c r="F274">
        <v>156</v>
      </c>
      <c r="G274">
        <v>70</v>
      </c>
      <c r="H274">
        <v>28.8</v>
      </c>
      <c r="I274">
        <v>127</v>
      </c>
      <c r="J274">
        <v>70</v>
      </c>
      <c r="K274">
        <v>68</v>
      </c>
      <c r="L274">
        <v>9.5</v>
      </c>
    </row>
    <row r="275" spans="1:12" x14ac:dyDescent="0.35">
      <c r="A275" t="s">
        <v>16</v>
      </c>
      <c r="B275" t="s">
        <v>21</v>
      </c>
      <c r="C275" t="s">
        <v>14</v>
      </c>
      <c r="D275" t="s">
        <v>26</v>
      </c>
      <c r="E275">
        <v>57</v>
      </c>
      <c r="F275">
        <v>189</v>
      </c>
      <c r="G275">
        <v>85</v>
      </c>
      <c r="H275">
        <v>23.8</v>
      </c>
      <c r="I275">
        <v>127</v>
      </c>
      <c r="J275">
        <v>94</v>
      </c>
      <c r="K275">
        <v>68</v>
      </c>
      <c r="L275">
        <v>9.6999999999999993</v>
      </c>
    </row>
    <row r="276" spans="1:12" x14ac:dyDescent="0.35">
      <c r="A276" t="s">
        <v>12</v>
      </c>
      <c r="B276" t="s">
        <v>25</v>
      </c>
      <c r="C276" t="s">
        <v>14</v>
      </c>
      <c r="D276" t="s">
        <v>15</v>
      </c>
      <c r="E276">
        <v>29</v>
      </c>
      <c r="F276">
        <v>172</v>
      </c>
      <c r="G276">
        <v>96</v>
      </c>
      <c r="H276">
        <v>32.4</v>
      </c>
      <c r="I276">
        <v>111</v>
      </c>
      <c r="J276">
        <v>93</v>
      </c>
      <c r="K276">
        <v>64</v>
      </c>
      <c r="L276">
        <v>8.4</v>
      </c>
    </row>
    <row r="277" spans="1:12" x14ac:dyDescent="0.35">
      <c r="A277" t="s">
        <v>16</v>
      </c>
      <c r="B277" t="s">
        <v>13</v>
      </c>
      <c r="C277" t="s">
        <v>23</v>
      </c>
      <c r="D277" t="s">
        <v>15</v>
      </c>
      <c r="E277">
        <v>50</v>
      </c>
      <c r="F277">
        <v>168</v>
      </c>
      <c r="G277">
        <v>79</v>
      </c>
      <c r="H277">
        <v>28</v>
      </c>
      <c r="I277">
        <v>113</v>
      </c>
      <c r="J277">
        <v>92</v>
      </c>
      <c r="K277">
        <v>85</v>
      </c>
      <c r="L277">
        <v>8.6999999999999993</v>
      </c>
    </row>
    <row r="278" spans="1:12" x14ac:dyDescent="0.35">
      <c r="A278" t="s">
        <v>12</v>
      </c>
      <c r="B278" t="s">
        <v>24</v>
      </c>
      <c r="C278" t="s">
        <v>23</v>
      </c>
      <c r="D278" t="s">
        <v>20</v>
      </c>
      <c r="E278">
        <v>53</v>
      </c>
      <c r="F278">
        <v>174</v>
      </c>
      <c r="G278">
        <v>67</v>
      </c>
      <c r="H278">
        <v>22.1</v>
      </c>
      <c r="I278">
        <v>139</v>
      </c>
      <c r="J278">
        <v>79</v>
      </c>
      <c r="K278">
        <v>60</v>
      </c>
      <c r="L278">
        <v>8.5</v>
      </c>
    </row>
    <row r="279" spans="1:12" x14ac:dyDescent="0.35">
      <c r="A279" t="s">
        <v>16</v>
      </c>
      <c r="B279" t="s">
        <v>17</v>
      </c>
      <c r="C279" t="s">
        <v>14</v>
      </c>
      <c r="D279" t="s">
        <v>15</v>
      </c>
      <c r="E279">
        <v>39</v>
      </c>
      <c r="F279">
        <v>172</v>
      </c>
      <c r="G279">
        <v>60</v>
      </c>
      <c r="H279">
        <v>20.3</v>
      </c>
      <c r="I279">
        <v>142</v>
      </c>
      <c r="J279">
        <v>84</v>
      </c>
      <c r="K279">
        <v>76</v>
      </c>
      <c r="L279">
        <v>7.5</v>
      </c>
    </row>
    <row r="280" spans="1:12" x14ac:dyDescent="0.35">
      <c r="A280" t="s">
        <v>12</v>
      </c>
      <c r="B280" t="s">
        <v>22</v>
      </c>
      <c r="C280" t="s">
        <v>14</v>
      </c>
      <c r="D280" t="s">
        <v>15</v>
      </c>
      <c r="E280">
        <v>27</v>
      </c>
      <c r="F280">
        <v>164</v>
      </c>
      <c r="G280">
        <v>98</v>
      </c>
      <c r="H280">
        <v>36.4</v>
      </c>
      <c r="I280">
        <v>145</v>
      </c>
      <c r="J280">
        <v>92</v>
      </c>
      <c r="K280">
        <v>81</v>
      </c>
      <c r="L280">
        <v>8.1999999999999993</v>
      </c>
    </row>
    <row r="281" spans="1:12" x14ac:dyDescent="0.35">
      <c r="A281" t="s">
        <v>16</v>
      </c>
      <c r="B281" t="s">
        <v>25</v>
      </c>
      <c r="C281" t="s">
        <v>14</v>
      </c>
      <c r="D281" t="s">
        <v>20</v>
      </c>
      <c r="E281">
        <v>39</v>
      </c>
      <c r="F281">
        <v>179</v>
      </c>
      <c r="G281">
        <v>63</v>
      </c>
      <c r="H281">
        <v>19.7</v>
      </c>
      <c r="I281">
        <v>127</v>
      </c>
      <c r="J281">
        <v>90</v>
      </c>
      <c r="K281">
        <v>61</v>
      </c>
      <c r="L281">
        <v>8.6</v>
      </c>
    </row>
    <row r="282" spans="1:12" x14ac:dyDescent="0.35">
      <c r="A282" t="s">
        <v>16</v>
      </c>
      <c r="B282" t="s">
        <v>24</v>
      </c>
      <c r="C282" t="s">
        <v>23</v>
      </c>
      <c r="D282" t="s">
        <v>18</v>
      </c>
      <c r="E282">
        <v>40</v>
      </c>
      <c r="F282">
        <v>156</v>
      </c>
      <c r="G282">
        <v>99</v>
      </c>
      <c r="H282">
        <v>40.700000000000003</v>
      </c>
      <c r="I282">
        <v>146</v>
      </c>
      <c r="J282">
        <v>90</v>
      </c>
      <c r="K282">
        <v>83</v>
      </c>
      <c r="L282">
        <v>8.5</v>
      </c>
    </row>
    <row r="283" spans="1:12" x14ac:dyDescent="0.35">
      <c r="A283" t="s">
        <v>16</v>
      </c>
      <c r="B283" t="s">
        <v>22</v>
      </c>
      <c r="C283" t="s">
        <v>14</v>
      </c>
      <c r="D283" t="s">
        <v>20</v>
      </c>
      <c r="E283">
        <v>43</v>
      </c>
      <c r="F283">
        <v>179</v>
      </c>
      <c r="G283">
        <v>90</v>
      </c>
      <c r="H283">
        <v>28.1</v>
      </c>
      <c r="I283">
        <v>128</v>
      </c>
      <c r="J283">
        <v>80</v>
      </c>
      <c r="K283">
        <v>72</v>
      </c>
      <c r="L283">
        <v>9.3000000000000007</v>
      </c>
    </row>
    <row r="284" spans="1:12" x14ac:dyDescent="0.35">
      <c r="A284" t="s">
        <v>16</v>
      </c>
      <c r="B284" t="s">
        <v>24</v>
      </c>
      <c r="C284" t="s">
        <v>14</v>
      </c>
      <c r="D284" t="s">
        <v>18</v>
      </c>
      <c r="E284">
        <v>58</v>
      </c>
      <c r="F284">
        <v>187</v>
      </c>
      <c r="G284">
        <v>97</v>
      </c>
      <c r="H284">
        <v>27.7</v>
      </c>
      <c r="I284">
        <v>137</v>
      </c>
      <c r="J284">
        <v>82</v>
      </c>
      <c r="K284">
        <v>68</v>
      </c>
      <c r="L284">
        <v>8.5</v>
      </c>
    </row>
    <row r="285" spans="1:12" x14ac:dyDescent="0.35">
      <c r="A285" t="s">
        <v>12</v>
      </c>
      <c r="B285" t="s">
        <v>21</v>
      </c>
      <c r="C285" t="s">
        <v>23</v>
      </c>
      <c r="D285" t="s">
        <v>26</v>
      </c>
      <c r="E285">
        <v>53</v>
      </c>
      <c r="F285">
        <v>185</v>
      </c>
      <c r="G285">
        <v>74</v>
      </c>
      <c r="H285">
        <v>21.6</v>
      </c>
      <c r="I285">
        <v>149</v>
      </c>
      <c r="J285">
        <v>74</v>
      </c>
      <c r="K285">
        <v>88</v>
      </c>
      <c r="L285">
        <v>8.6999999999999993</v>
      </c>
    </row>
    <row r="286" spans="1:12" x14ac:dyDescent="0.35">
      <c r="A286" t="s">
        <v>16</v>
      </c>
      <c r="B286" t="s">
        <v>24</v>
      </c>
      <c r="C286" t="s">
        <v>23</v>
      </c>
      <c r="D286" t="s">
        <v>18</v>
      </c>
      <c r="E286">
        <v>24</v>
      </c>
      <c r="F286">
        <v>168</v>
      </c>
      <c r="G286">
        <v>72</v>
      </c>
      <c r="H286">
        <v>25.5</v>
      </c>
      <c r="I286">
        <v>129</v>
      </c>
      <c r="J286">
        <v>70</v>
      </c>
      <c r="K286">
        <v>63</v>
      </c>
      <c r="L286">
        <v>8.6</v>
      </c>
    </row>
    <row r="287" spans="1:12" x14ac:dyDescent="0.35">
      <c r="A287" t="s">
        <v>12</v>
      </c>
      <c r="B287" t="s">
        <v>17</v>
      </c>
      <c r="C287" t="s">
        <v>14</v>
      </c>
      <c r="D287" t="s">
        <v>18</v>
      </c>
      <c r="E287">
        <v>49</v>
      </c>
      <c r="F287">
        <v>155</v>
      </c>
      <c r="G287">
        <v>97</v>
      </c>
      <c r="H287">
        <v>40.4</v>
      </c>
      <c r="I287">
        <v>142</v>
      </c>
      <c r="J287">
        <v>93</v>
      </c>
      <c r="K287">
        <v>64</v>
      </c>
      <c r="L287">
        <v>9.4</v>
      </c>
    </row>
    <row r="288" spans="1:12" x14ac:dyDescent="0.35">
      <c r="A288" t="s">
        <v>12</v>
      </c>
      <c r="B288" t="s">
        <v>24</v>
      </c>
      <c r="C288" t="s">
        <v>23</v>
      </c>
      <c r="D288" t="s">
        <v>26</v>
      </c>
      <c r="E288">
        <v>31</v>
      </c>
      <c r="F288">
        <v>170</v>
      </c>
      <c r="G288">
        <v>75</v>
      </c>
      <c r="H288">
        <v>26</v>
      </c>
      <c r="I288">
        <v>121</v>
      </c>
      <c r="J288">
        <v>81</v>
      </c>
      <c r="K288">
        <v>70</v>
      </c>
      <c r="L288">
        <v>9.6999999999999993</v>
      </c>
    </row>
    <row r="289" spans="1:12" x14ac:dyDescent="0.35">
      <c r="A289" t="s">
        <v>12</v>
      </c>
      <c r="B289" t="s">
        <v>24</v>
      </c>
      <c r="C289" t="s">
        <v>14</v>
      </c>
      <c r="D289" t="s">
        <v>18</v>
      </c>
      <c r="E289">
        <v>56</v>
      </c>
      <c r="F289">
        <v>157</v>
      </c>
      <c r="G289">
        <v>58</v>
      </c>
      <c r="H289">
        <v>23.5</v>
      </c>
      <c r="I289">
        <v>124</v>
      </c>
      <c r="J289">
        <v>80</v>
      </c>
      <c r="K289">
        <v>83</v>
      </c>
      <c r="L289">
        <v>8.8000000000000007</v>
      </c>
    </row>
    <row r="290" spans="1:12" x14ac:dyDescent="0.35">
      <c r="A290" t="s">
        <v>12</v>
      </c>
      <c r="B290" t="s">
        <v>17</v>
      </c>
      <c r="C290" t="s">
        <v>23</v>
      </c>
      <c r="D290" t="s">
        <v>20</v>
      </c>
      <c r="E290">
        <v>50</v>
      </c>
      <c r="F290">
        <v>189</v>
      </c>
      <c r="G290">
        <v>87</v>
      </c>
      <c r="H290">
        <v>24.4</v>
      </c>
      <c r="I290">
        <v>148</v>
      </c>
      <c r="J290">
        <v>86</v>
      </c>
      <c r="K290">
        <v>78</v>
      </c>
      <c r="L290">
        <v>9.5</v>
      </c>
    </row>
    <row r="291" spans="1:12" x14ac:dyDescent="0.35">
      <c r="A291" t="s">
        <v>16</v>
      </c>
      <c r="B291" t="s">
        <v>25</v>
      </c>
      <c r="C291" t="s">
        <v>14</v>
      </c>
      <c r="D291" t="s">
        <v>18</v>
      </c>
      <c r="E291">
        <v>36</v>
      </c>
      <c r="F291">
        <v>160</v>
      </c>
      <c r="G291">
        <v>81</v>
      </c>
      <c r="H291">
        <v>31.6</v>
      </c>
      <c r="I291">
        <v>111</v>
      </c>
      <c r="J291">
        <v>73</v>
      </c>
      <c r="K291">
        <v>80</v>
      </c>
      <c r="L291">
        <v>8.1999999999999993</v>
      </c>
    </row>
    <row r="292" spans="1:12" x14ac:dyDescent="0.35">
      <c r="A292" t="s">
        <v>12</v>
      </c>
      <c r="B292" t="s">
        <v>24</v>
      </c>
      <c r="C292" t="s">
        <v>14</v>
      </c>
      <c r="D292" t="s">
        <v>26</v>
      </c>
      <c r="E292">
        <v>54</v>
      </c>
      <c r="F292">
        <v>179</v>
      </c>
      <c r="G292">
        <v>61</v>
      </c>
      <c r="H292">
        <v>19</v>
      </c>
      <c r="I292">
        <v>138</v>
      </c>
      <c r="J292">
        <v>84</v>
      </c>
      <c r="K292">
        <v>62</v>
      </c>
      <c r="L292">
        <v>8.9</v>
      </c>
    </row>
    <row r="293" spans="1:12" x14ac:dyDescent="0.35">
      <c r="A293" t="s">
        <v>12</v>
      </c>
      <c r="B293" t="s">
        <v>17</v>
      </c>
      <c r="C293" t="s">
        <v>23</v>
      </c>
      <c r="D293" t="s">
        <v>20</v>
      </c>
      <c r="E293">
        <v>28</v>
      </c>
      <c r="F293">
        <v>167</v>
      </c>
      <c r="G293">
        <v>60</v>
      </c>
      <c r="H293">
        <v>21.5</v>
      </c>
      <c r="I293">
        <v>119</v>
      </c>
      <c r="J293">
        <v>94</v>
      </c>
      <c r="K293">
        <v>71</v>
      </c>
      <c r="L293">
        <v>8.4</v>
      </c>
    </row>
    <row r="294" spans="1:12" x14ac:dyDescent="0.35">
      <c r="A294" t="s">
        <v>12</v>
      </c>
      <c r="B294" t="s">
        <v>22</v>
      </c>
      <c r="C294" t="s">
        <v>14</v>
      </c>
      <c r="D294" t="s">
        <v>26</v>
      </c>
      <c r="E294">
        <v>33</v>
      </c>
      <c r="F294">
        <v>188</v>
      </c>
      <c r="G294">
        <v>69</v>
      </c>
      <c r="H294">
        <v>19.5</v>
      </c>
      <c r="I294">
        <v>111</v>
      </c>
      <c r="J294">
        <v>78</v>
      </c>
      <c r="K294">
        <v>85</v>
      </c>
      <c r="L294">
        <v>8.5</v>
      </c>
    </row>
    <row r="295" spans="1:12" x14ac:dyDescent="0.35">
      <c r="A295" t="s">
        <v>16</v>
      </c>
      <c r="B295" t="s">
        <v>21</v>
      </c>
      <c r="C295" t="s">
        <v>14</v>
      </c>
      <c r="D295" t="s">
        <v>26</v>
      </c>
      <c r="E295">
        <v>51</v>
      </c>
      <c r="F295">
        <v>162</v>
      </c>
      <c r="G295">
        <v>72</v>
      </c>
      <c r="H295">
        <v>27.4</v>
      </c>
      <c r="I295">
        <v>120</v>
      </c>
      <c r="J295">
        <v>90</v>
      </c>
      <c r="K295">
        <v>78</v>
      </c>
      <c r="L295">
        <v>9.3000000000000007</v>
      </c>
    </row>
    <row r="296" spans="1:12" x14ac:dyDescent="0.35">
      <c r="A296" t="s">
        <v>16</v>
      </c>
      <c r="B296" t="s">
        <v>21</v>
      </c>
      <c r="C296" t="s">
        <v>23</v>
      </c>
      <c r="D296" t="s">
        <v>15</v>
      </c>
      <c r="E296">
        <v>42</v>
      </c>
      <c r="F296">
        <v>175</v>
      </c>
      <c r="G296">
        <v>86</v>
      </c>
      <c r="H296">
        <v>28.1</v>
      </c>
      <c r="I296">
        <v>122</v>
      </c>
      <c r="J296">
        <v>89</v>
      </c>
      <c r="K296">
        <v>78</v>
      </c>
      <c r="L296">
        <v>9.6999999999999993</v>
      </c>
    </row>
    <row r="297" spans="1:12" x14ac:dyDescent="0.35">
      <c r="A297" t="s">
        <v>16</v>
      </c>
      <c r="B297" t="s">
        <v>24</v>
      </c>
      <c r="C297" t="s">
        <v>23</v>
      </c>
      <c r="D297" t="s">
        <v>15</v>
      </c>
      <c r="E297">
        <v>52</v>
      </c>
      <c r="F297">
        <v>188</v>
      </c>
      <c r="G297">
        <v>65</v>
      </c>
      <c r="H297">
        <v>18.399999999999999</v>
      </c>
      <c r="I297">
        <v>119</v>
      </c>
      <c r="J297">
        <v>88</v>
      </c>
      <c r="K297">
        <v>72</v>
      </c>
      <c r="L297">
        <v>7.8</v>
      </c>
    </row>
    <row r="298" spans="1:12" x14ac:dyDescent="0.35">
      <c r="A298" t="s">
        <v>16</v>
      </c>
      <c r="B298" t="s">
        <v>25</v>
      </c>
      <c r="C298" t="s">
        <v>14</v>
      </c>
      <c r="D298" t="s">
        <v>26</v>
      </c>
      <c r="E298">
        <v>45</v>
      </c>
      <c r="F298">
        <v>158</v>
      </c>
      <c r="G298">
        <v>74</v>
      </c>
      <c r="H298">
        <v>29.6</v>
      </c>
      <c r="I298">
        <v>123</v>
      </c>
      <c r="J298">
        <v>88</v>
      </c>
      <c r="K298">
        <v>87</v>
      </c>
      <c r="L298">
        <v>9.1</v>
      </c>
    </row>
    <row r="299" spans="1:12" x14ac:dyDescent="0.35">
      <c r="A299" t="s">
        <v>12</v>
      </c>
      <c r="B299" t="s">
        <v>25</v>
      </c>
      <c r="C299" t="s">
        <v>14</v>
      </c>
      <c r="D299" t="s">
        <v>26</v>
      </c>
      <c r="E299">
        <v>41</v>
      </c>
      <c r="F299">
        <v>179</v>
      </c>
      <c r="G299">
        <v>78</v>
      </c>
      <c r="H299">
        <v>24.3</v>
      </c>
      <c r="I299">
        <v>127</v>
      </c>
      <c r="J299">
        <v>81</v>
      </c>
      <c r="K299">
        <v>66</v>
      </c>
      <c r="L299">
        <v>9</v>
      </c>
    </row>
    <row r="300" spans="1:12" x14ac:dyDescent="0.35">
      <c r="A300" t="s">
        <v>12</v>
      </c>
      <c r="B300" t="s">
        <v>22</v>
      </c>
      <c r="C300" t="s">
        <v>14</v>
      </c>
      <c r="D300" t="s">
        <v>26</v>
      </c>
      <c r="E300">
        <v>58</v>
      </c>
      <c r="F300">
        <v>169</v>
      </c>
      <c r="G300">
        <v>69</v>
      </c>
      <c r="H300">
        <v>24.2</v>
      </c>
      <c r="I300">
        <v>118</v>
      </c>
      <c r="J300">
        <v>74</v>
      </c>
      <c r="K300">
        <v>74</v>
      </c>
      <c r="L300">
        <v>7.8</v>
      </c>
    </row>
    <row r="301" spans="1:12" x14ac:dyDescent="0.35">
      <c r="A301" t="s">
        <v>16</v>
      </c>
      <c r="B301" t="s">
        <v>24</v>
      </c>
      <c r="C301" t="s">
        <v>14</v>
      </c>
      <c r="D301" t="s">
        <v>15</v>
      </c>
      <c r="E301">
        <v>25</v>
      </c>
      <c r="F301">
        <v>158</v>
      </c>
      <c r="G301">
        <v>61</v>
      </c>
      <c r="H301">
        <v>24.4</v>
      </c>
      <c r="I301">
        <v>148</v>
      </c>
      <c r="J301">
        <v>79</v>
      </c>
      <c r="K301">
        <v>82</v>
      </c>
      <c r="L301">
        <v>8</v>
      </c>
    </row>
    <row r="302" spans="1:12" x14ac:dyDescent="0.35">
      <c r="A302" t="s">
        <v>12</v>
      </c>
      <c r="B302" t="s">
        <v>21</v>
      </c>
      <c r="C302" t="s">
        <v>14</v>
      </c>
      <c r="D302" t="s">
        <v>15</v>
      </c>
      <c r="E302">
        <v>49</v>
      </c>
      <c r="F302">
        <v>166</v>
      </c>
      <c r="G302">
        <v>75</v>
      </c>
      <c r="H302">
        <v>27.2</v>
      </c>
      <c r="I302">
        <v>137</v>
      </c>
      <c r="J302">
        <v>86</v>
      </c>
      <c r="K302">
        <v>66</v>
      </c>
      <c r="L302">
        <v>8.3000000000000007</v>
      </c>
    </row>
    <row r="303" spans="1:12" x14ac:dyDescent="0.35">
      <c r="A303" t="s">
        <v>12</v>
      </c>
      <c r="B303" t="s">
        <v>25</v>
      </c>
      <c r="C303" t="s">
        <v>14</v>
      </c>
      <c r="D303" t="s">
        <v>18</v>
      </c>
      <c r="E303">
        <v>41</v>
      </c>
      <c r="F303">
        <v>186</v>
      </c>
      <c r="G303">
        <v>96</v>
      </c>
      <c r="H303">
        <v>27.7</v>
      </c>
      <c r="I303">
        <v>112</v>
      </c>
      <c r="J303">
        <v>74</v>
      </c>
      <c r="K303">
        <v>85</v>
      </c>
      <c r="L303">
        <v>7.9</v>
      </c>
    </row>
    <row r="304" spans="1:12" x14ac:dyDescent="0.35">
      <c r="A304" t="s">
        <v>12</v>
      </c>
      <c r="B304" t="s">
        <v>24</v>
      </c>
      <c r="C304" t="s">
        <v>19</v>
      </c>
      <c r="D304" t="s">
        <v>18</v>
      </c>
      <c r="E304">
        <v>45</v>
      </c>
      <c r="F304">
        <v>186</v>
      </c>
      <c r="G304">
        <v>80</v>
      </c>
      <c r="H304">
        <v>23.1</v>
      </c>
      <c r="I304">
        <v>129</v>
      </c>
      <c r="J304">
        <v>91</v>
      </c>
      <c r="K304">
        <v>67</v>
      </c>
      <c r="L304">
        <v>8.1</v>
      </c>
    </row>
    <row r="305" spans="1:12" x14ac:dyDescent="0.35">
      <c r="A305" t="s">
        <v>16</v>
      </c>
      <c r="B305" t="s">
        <v>25</v>
      </c>
      <c r="C305" t="s">
        <v>14</v>
      </c>
      <c r="D305" t="s">
        <v>26</v>
      </c>
      <c r="E305">
        <v>53</v>
      </c>
      <c r="F305">
        <v>182</v>
      </c>
      <c r="G305">
        <v>98</v>
      </c>
      <c r="H305">
        <v>29.6</v>
      </c>
      <c r="I305">
        <v>115</v>
      </c>
      <c r="J305">
        <v>85</v>
      </c>
      <c r="K305">
        <v>64</v>
      </c>
      <c r="L305">
        <v>8.1999999999999993</v>
      </c>
    </row>
    <row r="306" spans="1:12" x14ac:dyDescent="0.35">
      <c r="A306" t="s">
        <v>16</v>
      </c>
      <c r="B306" t="s">
        <v>17</v>
      </c>
      <c r="C306" t="s">
        <v>14</v>
      </c>
      <c r="D306" t="s">
        <v>20</v>
      </c>
      <c r="E306">
        <v>57</v>
      </c>
      <c r="F306">
        <v>167</v>
      </c>
      <c r="G306">
        <v>68</v>
      </c>
      <c r="H306">
        <v>24.4</v>
      </c>
      <c r="I306">
        <v>136</v>
      </c>
      <c r="J306">
        <v>76</v>
      </c>
      <c r="K306">
        <v>80</v>
      </c>
      <c r="L306">
        <v>8.3000000000000007</v>
      </c>
    </row>
    <row r="307" spans="1:12" x14ac:dyDescent="0.35">
      <c r="A307" t="s">
        <v>12</v>
      </c>
      <c r="B307" t="s">
        <v>25</v>
      </c>
      <c r="C307" t="s">
        <v>14</v>
      </c>
      <c r="D307" t="s">
        <v>20</v>
      </c>
      <c r="E307">
        <v>55</v>
      </c>
      <c r="F307">
        <v>185</v>
      </c>
      <c r="G307">
        <v>91</v>
      </c>
      <c r="H307">
        <v>26.6</v>
      </c>
      <c r="I307">
        <v>111</v>
      </c>
      <c r="J307">
        <v>78</v>
      </c>
      <c r="K307">
        <v>73</v>
      </c>
      <c r="L307">
        <v>9.4</v>
      </c>
    </row>
    <row r="308" spans="1:12" x14ac:dyDescent="0.35">
      <c r="A308" t="s">
        <v>16</v>
      </c>
      <c r="B308" t="s">
        <v>21</v>
      </c>
      <c r="C308" t="s">
        <v>19</v>
      </c>
      <c r="D308" t="s">
        <v>15</v>
      </c>
      <c r="E308">
        <v>57</v>
      </c>
      <c r="F308">
        <v>168</v>
      </c>
      <c r="G308">
        <v>75</v>
      </c>
      <c r="H308">
        <v>26.6</v>
      </c>
      <c r="I308">
        <v>138</v>
      </c>
      <c r="J308">
        <v>72</v>
      </c>
      <c r="K308">
        <v>63</v>
      </c>
      <c r="L308">
        <v>8.9</v>
      </c>
    </row>
    <row r="309" spans="1:12" x14ac:dyDescent="0.35">
      <c r="A309" t="s">
        <v>16</v>
      </c>
      <c r="B309" t="s">
        <v>13</v>
      </c>
      <c r="C309" t="s">
        <v>14</v>
      </c>
      <c r="D309" t="s">
        <v>15</v>
      </c>
      <c r="E309">
        <v>23</v>
      </c>
      <c r="F309">
        <v>174</v>
      </c>
      <c r="G309">
        <v>72</v>
      </c>
      <c r="H309">
        <v>23.8</v>
      </c>
      <c r="I309">
        <v>147</v>
      </c>
      <c r="J309">
        <v>84</v>
      </c>
      <c r="K309">
        <v>82</v>
      </c>
      <c r="L309">
        <v>10</v>
      </c>
    </row>
    <row r="310" spans="1:12" x14ac:dyDescent="0.35">
      <c r="A310" t="s">
        <v>16</v>
      </c>
      <c r="B310" t="s">
        <v>22</v>
      </c>
      <c r="C310" t="s">
        <v>14</v>
      </c>
      <c r="D310" t="s">
        <v>15</v>
      </c>
      <c r="E310">
        <v>36</v>
      </c>
      <c r="F310">
        <v>172</v>
      </c>
      <c r="G310">
        <v>59</v>
      </c>
      <c r="H310">
        <v>19.899999999999999</v>
      </c>
      <c r="I310">
        <v>112</v>
      </c>
      <c r="J310">
        <v>85</v>
      </c>
      <c r="K310">
        <v>69</v>
      </c>
      <c r="L310">
        <v>8.5</v>
      </c>
    </row>
    <row r="311" spans="1:12" x14ac:dyDescent="0.35">
      <c r="A311" t="s">
        <v>16</v>
      </c>
      <c r="B311" t="s">
        <v>22</v>
      </c>
      <c r="C311" t="s">
        <v>14</v>
      </c>
      <c r="D311" t="s">
        <v>26</v>
      </c>
      <c r="E311">
        <v>55</v>
      </c>
      <c r="F311">
        <v>183</v>
      </c>
      <c r="G311">
        <v>57</v>
      </c>
      <c r="H311">
        <v>17</v>
      </c>
      <c r="I311">
        <v>125</v>
      </c>
      <c r="J311">
        <v>87</v>
      </c>
      <c r="K311">
        <v>79</v>
      </c>
      <c r="L311">
        <v>9.4</v>
      </c>
    </row>
    <row r="312" spans="1:12" x14ac:dyDescent="0.35">
      <c r="A312" t="s">
        <v>16</v>
      </c>
      <c r="B312" t="s">
        <v>21</v>
      </c>
      <c r="C312" t="s">
        <v>14</v>
      </c>
      <c r="D312" t="s">
        <v>20</v>
      </c>
      <c r="E312">
        <v>57</v>
      </c>
      <c r="F312">
        <v>160</v>
      </c>
      <c r="G312">
        <v>77</v>
      </c>
      <c r="H312">
        <v>30.1</v>
      </c>
      <c r="I312">
        <v>139</v>
      </c>
      <c r="J312">
        <v>83</v>
      </c>
      <c r="K312">
        <v>74</v>
      </c>
      <c r="L312">
        <v>9.6999999999999993</v>
      </c>
    </row>
    <row r="313" spans="1:12" x14ac:dyDescent="0.35">
      <c r="A313" t="s">
        <v>12</v>
      </c>
      <c r="B313" t="s">
        <v>25</v>
      </c>
      <c r="C313" t="s">
        <v>14</v>
      </c>
      <c r="D313" t="s">
        <v>18</v>
      </c>
      <c r="E313">
        <v>27</v>
      </c>
      <c r="F313">
        <v>186</v>
      </c>
      <c r="G313">
        <v>80</v>
      </c>
      <c r="H313">
        <v>23.1</v>
      </c>
      <c r="I313">
        <v>149</v>
      </c>
      <c r="J313">
        <v>72</v>
      </c>
      <c r="K313">
        <v>77</v>
      </c>
      <c r="L313">
        <v>9.1999999999999993</v>
      </c>
    </row>
    <row r="314" spans="1:12" x14ac:dyDescent="0.35">
      <c r="A314" t="s">
        <v>16</v>
      </c>
      <c r="B314" t="s">
        <v>24</v>
      </c>
      <c r="C314" t="s">
        <v>23</v>
      </c>
      <c r="D314" t="s">
        <v>26</v>
      </c>
      <c r="E314">
        <v>33</v>
      </c>
      <c r="F314">
        <v>183</v>
      </c>
      <c r="G314">
        <v>91</v>
      </c>
      <c r="H314">
        <v>27.2</v>
      </c>
      <c r="I314">
        <v>111</v>
      </c>
      <c r="J314">
        <v>81</v>
      </c>
      <c r="K314">
        <v>79</v>
      </c>
      <c r="L314">
        <v>8.5</v>
      </c>
    </row>
    <row r="315" spans="1:12" x14ac:dyDescent="0.35">
      <c r="A315" t="s">
        <v>12</v>
      </c>
      <c r="B315" t="s">
        <v>25</v>
      </c>
      <c r="C315" t="s">
        <v>19</v>
      </c>
      <c r="D315" t="s">
        <v>18</v>
      </c>
      <c r="E315">
        <v>24</v>
      </c>
      <c r="F315">
        <v>156</v>
      </c>
      <c r="G315">
        <v>78</v>
      </c>
      <c r="H315">
        <v>32.1</v>
      </c>
      <c r="I315">
        <v>126</v>
      </c>
      <c r="J315">
        <v>78</v>
      </c>
      <c r="K315">
        <v>72</v>
      </c>
      <c r="L315">
        <v>9.4</v>
      </c>
    </row>
    <row r="316" spans="1:12" x14ac:dyDescent="0.35">
      <c r="A316" t="s">
        <v>12</v>
      </c>
      <c r="B316" t="s">
        <v>21</v>
      </c>
      <c r="C316" t="s">
        <v>14</v>
      </c>
      <c r="D316" t="s">
        <v>18</v>
      </c>
      <c r="E316">
        <v>39</v>
      </c>
      <c r="F316">
        <v>177</v>
      </c>
      <c r="G316">
        <v>73</v>
      </c>
      <c r="H316">
        <v>23.3</v>
      </c>
      <c r="I316">
        <v>121</v>
      </c>
      <c r="J316">
        <v>76</v>
      </c>
      <c r="K316">
        <v>88</v>
      </c>
      <c r="L316">
        <v>8</v>
      </c>
    </row>
    <row r="317" spans="1:12" x14ac:dyDescent="0.35">
      <c r="A317" t="s">
        <v>16</v>
      </c>
      <c r="B317" t="s">
        <v>22</v>
      </c>
      <c r="C317" t="s">
        <v>14</v>
      </c>
      <c r="D317" t="s">
        <v>26</v>
      </c>
      <c r="E317">
        <v>42</v>
      </c>
      <c r="F317">
        <v>173</v>
      </c>
      <c r="G317">
        <v>79</v>
      </c>
      <c r="H317">
        <v>26.4</v>
      </c>
      <c r="I317">
        <v>144</v>
      </c>
      <c r="J317">
        <v>78</v>
      </c>
      <c r="K317">
        <v>67</v>
      </c>
      <c r="L317">
        <v>8.3000000000000007</v>
      </c>
    </row>
    <row r="318" spans="1:12" x14ac:dyDescent="0.35">
      <c r="A318" t="s">
        <v>12</v>
      </c>
      <c r="B318" t="s">
        <v>25</v>
      </c>
      <c r="C318" t="s">
        <v>19</v>
      </c>
      <c r="D318" t="s">
        <v>18</v>
      </c>
      <c r="E318">
        <v>36</v>
      </c>
      <c r="F318">
        <v>185</v>
      </c>
      <c r="G318">
        <v>75</v>
      </c>
      <c r="H318">
        <v>21.9</v>
      </c>
      <c r="I318">
        <v>110</v>
      </c>
      <c r="J318">
        <v>82</v>
      </c>
      <c r="K318">
        <v>68</v>
      </c>
      <c r="L318">
        <v>8.9</v>
      </c>
    </row>
    <row r="319" spans="1:12" x14ac:dyDescent="0.35">
      <c r="A319" t="s">
        <v>12</v>
      </c>
      <c r="B319" t="s">
        <v>22</v>
      </c>
      <c r="C319" t="s">
        <v>23</v>
      </c>
      <c r="D319" t="s">
        <v>20</v>
      </c>
      <c r="E319">
        <v>54</v>
      </c>
      <c r="F319">
        <v>159</v>
      </c>
      <c r="G319">
        <v>66</v>
      </c>
      <c r="H319">
        <v>26.1</v>
      </c>
      <c r="I319">
        <v>124</v>
      </c>
      <c r="J319">
        <v>87</v>
      </c>
      <c r="K319">
        <v>75</v>
      </c>
      <c r="L319">
        <v>8.9</v>
      </c>
    </row>
    <row r="320" spans="1:12" x14ac:dyDescent="0.35">
      <c r="A320" t="s">
        <v>12</v>
      </c>
      <c r="B320" t="s">
        <v>24</v>
      </c>
      <c r="C320" t="s">
        <v>14</v>
      </c>
      <c r="D320" t="s">
        <v>18</v>
      </c>
      <c r="E320">
        <v>56</v>
      </c>
      <c r="F320">
        <v>173</v>
      </c>
      <c r="G320">
        <v>95</v>
      </c>
      <c r="H320">
        <v>31.7</v>
      </c>
      <c r="I320">
        <v>135</v>
      </c>
      <c r="J320">
        <v>74</v>
      </c>
      <c r="K320">
        <v>78</v>
      </c>
      <c r="L320">
        <v>7.6</v>
      </c>
    </row>
    <row r="321" spans="1:12" x14ac:dyDescent="0.35">
      <c r="A321" t="s">
        <v>16</v>
      </c>
      <c r="B321" t="s">
        <v>22</v>
      </c>
      <c r="C321" t="s">
        <v>14</v>
      </c>
      <c r="D321" t="s">
        <v>20</v>
      </c>
      <c r="E321">
        <v>47</v>
      </c>
      <c r="F321">
        <v>188</v>
      </c>
      <c r="G321">
        <v>87</v>
      </c>
      <c r="H321">
        <v>24.6</v>
      </c>
      <c r="I321">
        <v>146</v>
      </c>
      <c r="J321">
        <v>82</v>
      </c>
      <c r="K321">
        <v>75</v>
      </c>
      <c r="L321">
        <v>9.9</v>
      </c>
    </row>
    <row r="322" spans="1:12" x14ac:dyDescent="0.35">
      <c r="A322" t="s">
        <v>16</v>
      </c>
      <c r="B322" t="s">
        <v>22</v>
      </c>
      <c r="C322" t="s">
        <v>14</v>
      </c>
      <c r="D322" t="s">
        <v>20</v>
      </c>
      <c r="E322">
        <v>29</v>
      </c>
      <c r="F322">
        <v>164</v>
      </c>
      <c r="G322">
        <v>58</v>
      </c>
      <c r="H322">
        <v>21.6</v>
      </c>
      <c r="I322">
        <v>130</v>
      </c>
      <c r="J322">
        <v>73</v>
      </c>
      <c r="K322">
        <v>66</v>
      </c>
      <c r="L322">
        <v>9.1999999999999993</v>
      </c>
    </row>
    <row r="323" spans="1:12" x14ac:dyDescent="0.35">
      <c r="A323" t="s">
        <v>12</v>
      </c>
      <c r="B323" t="s">
        <v>13</v>
      </c>
      <c r="C323" t="s">
        <v>14</v>
      </c>
      <c r="D323" t="s">
        <v>20</v>
      </c>
      <c r="E323">
        <v>57</v>
      </c>
      <c r="F323">
        <v>179</v>
      </c>
      <c r="G323">
        <v>96</v>
      </c>
      <c r="H323">
        <v>30</v>
      </c>
      <c r="I323">
        <v>140</v>
      </c>
      <c r="J323">
        <v>71</v>
      </c>
      <c r="K323">
        <v>73</v>
      </c>
      <c r="L323">
        <v>8.6999999999999993</v>
      </c>
    </row>
    <row r="324" spans="1:12" x14ac:dyDescent="0.35">
      <c r="A324" t="s">
        <v>16</v>
      </c>
      <c r="B324" t="s">
        <v>13</v>
      </c>
      <c r="C324" t="s">
        <v>23</v>
      </c>
      <c r="D324" t="s">
        <v>15</v>
      </c>
      <c r="E324">
        <v>51</v>
      </c>
      <c r="F324">
        <v>156</v>
      </c>
      <c r="G324">
        <v>61</v>
      </c>
      <c r="H324">
        <v>25.1</v>
      </c>
      <c r="I324">
        <v>134</v>
      </c>
      <c r="J324">
        <v>85</v>
      </c>
      <c r="K324">
        <v>87</v>
      </c>
      <c r="L324">
        <v>9.8000000000000007</v>
      </c>
    </row>
    <row r="325" spans="1:12" x14ac:dyDescent="0.35">
      <c r="A325" t="s">
        <v>16</v>
      </c>
      <c r="B325" t="s">
        <v>17</v>
      </c>
      <c r="C325" t="s">
        <v>19</v>
      </c>
      <c r="D325" t="s">
        <v>18</v>
      </c>
      <c r="E325">
        <v>44</v>
      </c>
      <c r="F325">
        <v>165</v>
      </c>
      <c r="G325">
        <v>76</v>
      </c>
      <c r="H325">
        <v>27.9</v>
      </c>
      <c r="I325">
        <v>132</v>
      </c>
      <c r="J325">
        <v>78</v>
      </c>
      <c r="K325">
        <v>73</v>
      </c>
      <c r="L325">
        <v>8.6</v>
      </c>
    </row>
    <row r="326" spans="1:12" x14ac:dyDescent="0.35">
      <c r="A326" t="s">
        <v>16</v>
      </c>
      <c r="B326" t="s">
        <v>13</v>
      </c>
      <c r="C326" t="s">
        <v>19</v>
      </c>
      <c r="D326" t="s">
        <v>26</v>
      </c>
      <c r="E326">
        <v>35</v>
      </c>
      <c r="F326">
        <v>185</v>
      </c>
      <c r="G326">
        <v>87</v>
      </c>
      <c r="H326">
        <v>25.4</v>
      </c>
      <c r="I326">
        <v>133</v>
      </c>
      <c r="J326">
        <v>78</v>
      </c>
      <c r="K326">
        <v>84</v>
      </c>
      <c r="L326">
        <v>10</v>
      </c>
    </row>
    <row r="327" spans="1:12" x14ac:dyDescent="0.35">
      <c r="A327" t="s">
        <v>16</v>
      </c>
      <c r="B327" t="s">
        <v>22</v>
      </c>
      <c r="C327" t="s">
        <v>14</v>
      </c>
      <c r="D327" t="s">
        <v>26</v>
      </c>
      <c r="E327">
        <v>35</v>
      </c>
      <c r="F327">
        <v>169</v>
      </c>
      <c r="G327">
        <v>71</v>
      </c>
      <c r="H327">
        <v>24.9</v>
      </c>
      <c r="I327">
        <v>147</v>
      </c>
      <c r="J327">
        <v>75</v>
      </c>
      <c r="K327">
        <v>86</v>
      </c>
      <c r="L327">
        <v>8.8000000000000007</v>
      </c>
    </row>
    <row r="328" spans="1:12" x14ac:dyDescent="0.35">
      <c r="A328" t="s">
        <v>12</v>
      </c>
      <c r="B328" t="s">
        <v>21</v>
      </c>
      <c r="C328" t="s">
        <v>14</v>
      </c>
      <c r="D328" t="s">
        <v>18</v>
      </c>
      <c r="E328">
        <v>23</v>
      </c>
      <c r="F328">
        <v>163</v>
      </c>
      <c r="G328">
        <v>78</v>
      </c>
      <c r="H328">
        <v>29.4</v>
      </c>
      <c r="I328">
        <v>137</v>
      </c>
      <c r="J328">
        <v>80</v>
      </c>
      <c r="K328">
        <v>63</v>
      </c>
      <c r="L328">
        <v>7.8</v>
      </c>
    </row>
    <row r="329" spans="1:12" x14ac:dyDescent="0.35">
      <c r="A329" t="s">
        <v>12</v>
      </c>
      <c r="B329" t="s">
        <v>22</v>
      </c>
      <c r="C329" t="s">
        <v>19</v>
      </c>
      <c r="D329" t="s">
        <v>15</v>
      </c>
      <c r="E329">
        <v>58</v>
      </c>
      <c r="F329">
        <v>177</v>
      </c>
      <c r="G329">
        <v>88</v>
      </c>
      <c r="H329">
        <v>28.1</v>
      </c>
      <c r="I329">
        <v>130</v>
      </c>
      <c r="J329">
        <v>91</v>
      </c>
      <c r="K329">
        <v>85</v>
      </c>
      <c r="L329">
        <v>9.4</v>
      </c>
    </row>
    <row r="330" spans="1:12" x14ac:dyDescent="0.35">
      <c r="A330" t="s">
        <v>16</v>
      </c>
      <c r="B330" t="s">
        <v>21</v>
      </c>
      <c r="C330" t="s">
        <v>23</v>
      </c>
      <c r="D330" t="s">
        <v>15</v>
      </c>
      <c r="E330">
        <v>26</v>
      </c>
      <c r="F330">
        <v>173</v>
      </c>
      <c r="G330">
        <v>82</v>
      </c>
      <c r="H330">
        <v>27.4</v>
      </c>
      <c r="I330">
        <v>127</v>
      </c>
      <c r="J330">
        <v>93</v>
      </c>
      <c r="K330">
        <v>74</v>
      </c>
      <c r="L330">
        <v>9.1999999999999993</v>
      </c>
    </row>
    <row r="331" spans="1:12" x14ac:dyDescent="0.35">
      <c r="A331" t="s">
        <v>16</v>
      </c>
      <c r="B331" t="s">
        <v>21</v>
      </c>
      <c r="C331" t="s">
        <v>14</v>
      </c>
      <c r="D331" t="s">
        <v>20</v>
      </c>
      <c r="E331">
        <v>59</v>
      </c>
      <c r="F331">
        <v>163</v>
      </c>
      <c r="G331">
        <v>97</v>
      </c>
      <c r="H331">
        <v>36.5</v>
      </c>
      <c r="I331">
        <v>145</v>
      </c>
      <c r="J331">
        <v>91</v>
      </c>
      <c r="K331">
        <v>62</v>
      </c>
      <c r="L331">
        <v>9.4</v>
      </c>
    </row>
    <row r="332" spans="1:12" x14ac:dyDescent="0.35">
      <c r="A332" t="s">
        <v>12</v>
      </c>
      <c r="B332" t="s">
        <v>13</v>
      </c>
      <c r="C332" t="s">
        <v>19</v>
      </c>
      <c r="D332" t="s">
        <v>18</v>
      </c>
      <c r="E332">
        <v>35</v>
      </c>
      <c r="F332">
        <v>189</v>
      </c>
      <c r="G332">
        <v>95</v>
      </c>
      <c r="H332">
        <v>26.6</v>
      </c>
      <c r="I332">
        <v>144</v>
      </c>
      <c r="J332">
        <v>70</v>
      </c>
      <c r="K332">
        <v>64</v>
      </c>
      <c r="L332">
        <v>9.9</v>
      </c>
    </row>
    <row r="333" spans="1:12" x14ac:dyDescent="0.35">
      <c r="A333" t="s">
        <v>12</v>
      </c>
      <c r="B333" t="s">
        <v>25</v>
      </c>
      <c r="C333" t="s">
        <v>23</v>
      </c>
      <c r="D333" t="s">
        <v>18</v>
      </c>
      <c r="E333">
        <v>46</v>
      </c>
      <c r="F333">
        <v>175</v>
      </c>
      <c r="G333">
        <v>93</v>
      </c>
      <c r="H333">
        <v>30.4</v>
      </c>
      <c r="I333">
        <v>118</v>
      </c>
      <c r="J333">
        <v>73</v>
      </c>
      <c r="K333">
        <v>60</v>
      </c>
      <c r="L333">
        <v>9.4</v>
      </c>
    </row>
    <row r="334" spans="1:12" x14ac:dyDescent="0.35">
      <c r="A334" t="s">
        <v>16</v>
      </c>
      <c r="B334" t="s">
        <v>24</v>
      </c>
      <c r="C334" t="s">
        <v>14</v>
      </c>
      <c r="D334" t="s">
        <v>26</v>
      </c>
      <c r="E334">
        <v>41</v>
      </c>
      <c r="F334">
        <v>163</v>
      </c>
      <c r="G334">
        <v>76</v>
      </c>
      <c r="H334">
        <v>28.6</v>
      </c>
      <c r="I334">
        <v>147</v>
      </c>
      <c r="J334">
        <v>82</v>
      </c>
      <c r="K334">
        <v>62</v>
      </c>
      <c r="L334">
        <v>9</v>
      </c>
    </row>
    <row r="335" spans="1:12" x14ac:dyDescent="0.35">
      <c r="A335" t="s">
        <v>12</v>
      </c>
      <c r="B335" t="s">
        <v>13</v>
      </c>
      <c r="C335" t="s">
        <v>14</v>
      </c>
      <c r="D335" t="s">
        <v>18</v>
      </c>
      <c r="E335">
        <v>23</v>
      </c>
      <c r="F335">
        <v>182</v>
      </c>
      <c r="G335">
        <v>71</v>
      </c>
      <c r="H335">
        <v>21.4</v>
      </c>
      <c r="I335">
        <v>139</v>
      </c>
      <c r="J335">
        <v>92</v>
      </c>
      <c r="K335">
        <v>74</v>
      </c>
      <c r="L335">
        <v>9.6</v>
      </c>
    </row>
    <row r="336" spans="1:12" x14ac:dyDescent="0.35">
      <c r="A336" t="s">
        <v>16</v>
      </c>
      <c r="B336" t="s">
        <v>13</v>
      </c>
      <c r="C336" t="s">
        <v>14</v>
      </c>
      <c r="D336" t="s">
        <v>15</v>
      </c>
      <c r="E336">
        <v>27</v>
      </c>
      <c r="F336">
        <v>161</v>
      </c>
      <c r="G336">
        <v>88</v>
      </c>
      <c r="H336">
        <v>33.9</v>
      </c>
      <c r="I336">
        <v>143</v>
      </c>
      <c r="J336">
        <v>82</v>
      </c>
      <c r="K336">
        <v>83</v>
      </c>
      <c r="L336">
        <v>9.1999999999999993</v>
      </c>
    </row>
    <row r="337" spans="1:12" x14ac:dyDescent="0.35">
      <c r="A337" t="s">
        <v>16</v>
      </c>
      <c r="B337" t="s">
        <v>25</v>
      </c>
      <c r="C337" t="s">
        <v>14</v>
      </c>
      <c r="D337" t="s">
        <v>18</v>
      </c>
      <c r="E337">
        <v>38</v>
      </c>
      <c r="F337">
        <v>170</v>
      </c>
      <c r="G337">
        <v>60</v>
      </c>
      <c r="H337">
        <v>20.8</v>
      </c>
      <c r="I337">
        <v>141</v>
      </c>
      <c r="J337">
        <v>82</v>
      </c>
      <c r="K337">
        <v>86</v>
      </c>
      <c r="L337">
        <v>8.5</v>
      </c>
    </row>
    <row r="338" spans="1:12" x14ac:dyDescent="0.35">
      <c r="A338" t="s">
        <v>12</v>
      </c>
      <c r="B338" t="s">
        <v>24</v>
      </c>
      <c r="C338" t="s">
        <v>14</v>
      </c>
      <c r="D338" t="s">
        <v>26</v>
      </c>
      <c r="E338">
        <v>46</v>
      </c>
      <c r="F338">
        <v>170</v>
      </c>
      <c r="G338">
        <v>60</v>
      </c>
      <c r="H338">
        <v>20.8</v>
      </c>
      <c r="I338">
        <v>112</v>
      </c>
      <c r="J338">
        <v>71</v>
      </c>
      <c r="K338">
        <v>67</v>
      </c>
      <c r="L338">
        <v>9.6999999999999993</v>
      </c>
    </row>
    <row r="339" spans="1:12" x14ac:dyDescent="0.35">
      <c r="A339" t="s">
        <v>12</v>
      </c>
      <c r="B339" t="s">
        <v>22</v>
      </c>
      <c r="C339" t="s">
        <v>23</v>
      </c>
      <c r="D339" t="s">
        <v>20</v>
      </c>
      <c r="E339">
        <v>49</v>
      </c>
      <c r="F339">
        <v>187</v>
      </c>
      <c r="G339">
        <v>88</v>
      </c>
      <c r="H339">
        <v>25.2</v>
      </c>
      <c r="I339">
        <v>112</v>
      </c>
      <c r="J339">
        <v>78</v>
      </c>
      <c r="K339">
        <v>88</v>
      </c>
      <c r="L339">
        <v>8.1</v>
      </c>
    </row>
    <row r="340" spans="1:12" x14ac:dyDescent="0.35">
      <c r="A340" t="s">
        <v>16</v>
      </c>
      <c r="B340" t="s">
        <v>17</v>
      </c>
      <c r="C340" t="s">
        <v>14</v>
      </c>
      <c r="D340" t="s">
        <v>26</v>
      </c>
      <c r="E340">
        <v>23</v>
      </c>
      <c r="F340">
        <v>158</v>
      </c>
      <c r="G340">
        <v>55</v>
      </c>
      <c r="H340">
        <v>22</v>
      </c>
      <c r="I340">
        <v>137</v>
      </c>
      <c r="J340">
        <v>93</v>
      </c>
      <c r="K340">
        <v>63</v>
      </c>
      <c r="L340">
        <v>9.3000000000000007</v>
      </c>
    </row>
    <row r="341" spans="1:12" x14ac:dyDescent="0.35">
      <c r="A341" t="s">
        <v>16</v>
      </c>
      <c r="B341" t="s">
        <v>17</v>
      </c>
      <c r="C341" t="s">
        <v>14</v>
      </c>
      <c r="D341" t="s">
        <v>26</v>
      </c>
      <c r="E341">
        <v>56</v>
      </c>
      <c r="F341">
        <v>158</v>
      </c>
      <c r="G341">
        <v>64</v>
      </c>
      <c r="H341">
        <v>25.6</v>
      </c>
      <c r="I341">
        <v>124</v>
      </c>
      <c r="J341">
        <v>77</v>
      </c>
      <c r="K341">
        <v>61</v>
      </c>
      <c r="L341">
        <v>9.6999999999999993</v>
      </c>
    </row>
    <row r="342" spans="1:12" x14ac:dyDescent="0.35">
      <c r="A342" t="s">
        <v>12</v>
      </c>
      <c r="B342" t="s">
        <v>22</v>
      </c>
      <c r="C342" t="s">
        <v>14</v>
      </c>
      <c r="D342" t="s">
        <v>20</v>
      </c>
      <c r="E342">
        <v>58</v>
      </c>
      <c r="F342">
        <v>171</v>
      </c>
      <c r="G342">
        <v>75</v>
      </c>
      <c r="H342">
        <v>25.6</v>
      </c>
      <c r="I342">
        <v>132</v>
      </c>
      <c r="J342">
        <v>76</v>
      </c>
      <c r="K342">
        <v>88</v>
      </c>
      <c r="L342">
        <v>9.3000000000000007</v>
      </c>
    </row>
    <row r="343" spans="1:12" x14ac:dyDescent="0.35">
      <c r="A343" t="s">
        <v>16</v>
      </c>
      <c r="B343" t="s">
        <v>13</v>
      </c>
      <c r="C343" t="s">
        <v>14</v>
      </c>
      <c r="D343" t="s">
        <v>26</v>
      </c>
      <c r="E343">
        <v>26</v>
      </c>
      <c r="F343">
        <v>183</v>
      </c>
      <c r="G343">
        <v>59</v>
      </c>
      <c r="H343">
        <v>17.600000000000001</v>
      </c>
      <c r="I343">
        <v>149</v>
      </c>
      <c r="J343">
        <v>73</v>
      </c>
      <c r="K343">
        <v>83</v>
      </c>
      <c r="L343">
        <v>9.1999999999999993</v>
      </c>
    </row>
    <row r="344" spans="1:12" x14ac:dyDescent="0.35">
      <c r="A344" t="s">
        <v>12</v>
      </c>
      <c r="B344" t="s">
        <v>24</v>
      </c>
      <c r="C344" t="s">
        <v>19</v>
      </c>
      <c r="D344" t="s">
        <v>26</v>
      </c>
      <c r="E344">
        <v>22</v>
      </c>
      <c r="F344">
        <v>189</v>
      </c>
      <c r="G344">
        <v>56</v>
      </c>
      <c r="H344">
        <v>15.7</v>
      </c>
      <c r="I344">
        <v>120</v>
      </c>
      <c r="J344">
        <v>87</v>
      </c>
      <c r="K344">
        <v>83</v>
      </c>
      <c r="L344">
        <v>9.4</v>
      </c>
    </row>
    <row r="345" spans="1:12" x14ac:dyDescent="0.35">
      <c r="A345" t="s">
        <v>16</v>
      </c>
      <c r="B345" t="s">
        <v>13</v>
      </c>
      <c r="C345" t="s">
        <v>14</v>
      </c>
      <c r="D345" t="s">
        <v>18</v>
      </c>
      <c r="E345">
        <v>33</v>
      </c>
      <c r="F345">
        <v>161</v>
      </c>
      <c r="G345">
        <v>76</v>
      </c>
      <c r="H345">
        <v>29.3</v>
      </c>
      <c r="I345">
        <v>141</v>
      </c>
      <c r="J345">
        <v>72</v>
      </c>
      <c r="K345">
        <v>69</v>
      </c>
      <c r="L345">
        <v>8.6999999999999993</v>
      </c>
    </row>
    <row r="346" spans="1:12" x14ac:dyDescent="0.35">
      <c r="A346" t="s">
        <v>12</v>
      </c>
      <c r="B346" t="s">
        <v>21</v>
      </c>
      <c r="C346" t="s">
        <v>14</v>
      </c>
      <c r="D346" t="s">
        <v>18</v>
      </c>
      <c r="E346">
        <v>57</v>
      </c>
      <c r="F346">
        <v>181</v>
      </c>
      <c r="G346">
        <v>56</v>
      </c>
      <c r="H346">
        <v>17.100000000000001</v>
      </c>
      <c r="I346">
        <v>145</v>
      </c>
      <c r="J346">
        <v>75</v>
      </c>
      <c r="K346">
        <v>63</v>
      </c>
      <c r="L346">
        <v>9.6999999999999993</v>
      </c>
    </row>
    <row r="347" spans="1:12" x14ac:dyDescent="0.35">
      <c r="A347" t="s">
        <v>12</v>
      </c>
      <c r="B347" t="s">
        <v>13</v>
      </c>
      <c r="C347" t="s">
        <v>23</v>
      </c>
      <c r="D347" t="s">
        <v>20</v>
      </c>
      <c r="E347">
        <v>44</v>
      </c>
      <c r="F347">
        <v>182</v>
      </c>
      <c r="G347">
        <v>64</v>
      </c>
      <c r="H347">
        <v>19.3</v>
      </c>
      <c r="I347">
        <v>142</v>
      </c>
      <c r="J347">
        <v>81</v>
      </c>
      <c r="K347">
        <v>62</v>
      </c>
      <c r="L347">
        <v>8</v>
      </c>
    </row>
    <row r="348" spans="1:12" x14ac:dyDescent="0.35">
      <c r="A348" t="s">
        <v>12</v>
      </c>
      <c r="B348" t="s">
        <v>13</v>
      </c>
      <c r="C348" t="s">
        <v>14</v>
      </c>
      <c r="D348" t="s">
        <v>18</v>
      </c>
      <c r="E348">
        <v>52</v>
      </c>
      <c r="F348">
        <v>176</v>
      </c>
      <c r="G348">
        <v>88</v>
      </c>
      <c r="H348">
        <v>28.4</v>
      </c>
      <c r="I348">
        <v>133</v>
      </c>
      <c r="J348">
        <v>81</v>
      </c>
      <c r="K348">
        <v>61</v>
      </c>
      <c r="L348">
        <v>7.8</v>
      </c>
    </row>
    <row r="349" spans="1:12" x14ac:dyDescent="0.35">
      <c r="A349" t="s">
        <v>16</v>
      </c>
      <c r="B349" t="s">
        <v>22</v>
      </c>
      <c r="C349" t="s">
        <v>14</v>
      </c>
      <c r="D349" t="s">
        <v>18</v>
      </c>
      <c r="E349">
        <v>32</v>
      </c>
      <c r="F349">
        <v>168</v>
      </c>
      <c r="G349">
        <v>70</v>
      </c>
      <c r="H349">
        <v>24.8</v>
      </c>
      <c r="I349">
        <v>148</v>
      </c>
      <c r="J349">
        <v>90</v>
      </c>
      <c r="K349">
        <v>84</v>
      </c>
      <c r="L349">
        <v>8.1999999999999993</v>
      </c>
    </row>
    <row r="350" spans="1:12" x14ac:dyDescent="0.35">
      <c r="A350" t="s">
        <v>16</v>
      </c>
      <c r="B350" t="s">
        <v>22</v>
      </c>
      <c r="C350" t="s">
        <v>14</v>
      </c>
      <c r="D350" t="s">
        <v>26</v>
      </c>
      <c r="E350">
        <v>31</v>
      </c>
      <c r="F350">
        <v>161</v>
      </c>
      <c r="G350">
        <v>93</v>
      </c>
      <c r="H350">
        <v>35.9</v>
      </c>
      <c r="I350">
        <v>143</v>
      </c>
      <c r="J350">
        <v>77</v>
      </c>
      <c r="K350">
        <v>76</v>
      </c>
      <c r="L350">
        <v>8.8000000000000007</v>
      </c>
    </row>
    <row r="351" spans="1:12" x14ac:dyDescent="0.35">
      <c r="A351" t="s">
        <v>12</v>
      </c>
      <c r="B351" t="s">
        <v>22</v>
      </c>
      <c r="C351" t="s">
        <v>14</v>
      </c>
      <c r="D351" t="s">
        <v>15</v>
      </c>
      <c r="E351">
        <v>24</v>
      </c>
      <c r="F351">
        <v>176</v>
      </c>
      <c r="G351">
        <v>76</v>
      </c>
      <c r="H351">
        <v>24.5</v>
      </c>
      <c r="I351">
        <v>137</v>
      </c>
      <c r="J351">
        <v>91</v>
      </c>
      <c r="K351">
        <v>82</v>
      </c>
      <c r="L351">
        <v>8.8000000000000007</v>
      </c>
    </row>
    <row r="352" spans="1:12" x14ac:dyDescent="0.35">
      <c r="A352" t="s">
        <v>16</v>
      </c>
      <c r="B352" t="s">
        <v>17</v>
      </c>
      <c r="C352" t="s">
        <v>14</v>
      </c>
      <c r="D352" t="s">
        <v>18</v>
      </c>
      <c r="E352">
        <v>35</v>
      </c>
      <c r="F352">
        <v>159</v>
      </c>
      <c r="G352">
        <v>66</v>
      </c>
      <c r="H352">
        <v>26.1</v>
      </c>
      <c r="I352">
        <v>146</v>
      </c>
      <c r="J352">
        <v>91</v>
      </c>
      <c r="K352">
        <v>80</v>
      </c>
      <c r="L352">
        <v>9.6</v>
      </c>
    </row>
    <row r="353" spans="1:12" x14ac:dyDescent="0.35">
      <c r="A353" t="s">
        <v>12</v>
      </c>
      <c r="B353" t="s">
        <v>21</v>
      </c>
      <c r="C353" t="s">
        <v>14</v>
      </c>
      <c r="D353" t="s">
        <v>15</v>
      </c>
      <c r="E353">
        <v>37</v>
      </c>
      <c r="F353">
        <v>156</v>
      </c>
      <c r="G353">
        <v>78</v>
      </c>
      <c r="H353">
        <v>32.1</v>
      </c>
      <c r="I353">
        <v>116</v>
      </c>
      <c r="J353">
        <v>70</v>
      </c>
      <c r="K353">
        <v>83</v>
      </c>
      <c r="L353">
        <v>8.5</v>
      </c>
    </row>
    <row r="354" spans="1:12" x14ac:dyDescent="0.35">
      <c r="A354" t="s">
        <v>12</v>
      </c>
      <c r="B354" t="s">
        <v>22</v>
      </c>
      <c r="C354" t="s">
        <v>14</v>
      </c>
      <c r="D354" t="s">
        <v>18</v>
      </c>
      <c r="E354">
        <v>31</v>
      </c>
      <c r="F354">
        <v>181</v>
      </c>
      <c r="G354">
        <v>94</v>
      </c>
      <c r="H354">
        <v>28.7</v>
      </c>
      <c r="I354">
        <v>113</v>
      </c>
      <c r="J354">
        <v>73</v>
      </c>
      <c r="K354">
        <v>79</v>
      </c>
      <c r="L354">
        <v>8.6999999999999993</v>
      </c>
    </row>
    <row r="355" spans="1:12" x14ac:dyDescent="0.35">
      <c r="A355" t="s">
        <v>16</v>
      </c>
      <c r="B355" t="s">
        <v>24</v>
      </c>
      <c r="C355" t="s">
        <v>19</v>
      </c>
      <c r="D355" t="s">
        <v>18</v>
      </c>
      <c r="E355">
        <v>50</v>
      </c>
      <c r="F355">
        <v>175</v>
      </c>
      <c r="G355">
        <v>92</v>
      </c>
      <c r="H355">
        <v>30</v>
      </c>
      <c r="I355">
        <v>146</v>
      </c>
      <c r="J355">
        <v>90</v>
      </c>
      <c r="K355">
        <v>82</v>
      </c>
      <c r="L355">
        <v>7.5</v>
      </c>
    </row>
    <row r="356" spans="1:12" x14ac:dyDescent="0.35">
      <c r="A356" t="s">
        <v>16</v>
      </c>
      <c r="B356" t="s">
        <v>17</v>
      </c>
      <c r="C356" t="s">
        <v>14</v>
      </c>
      <c r="D356" t="s">
        <v>20</v>
      </c>
      <c r="E356">
        <v>31</v>
      </c>
      <c r="F356">
        <v>169</v>
      </c>
      <c r="G356">
        <v>64</v>
      </c>
      <c r="H356">
        <v>22.4</v>
      </c>
      <c r="I356">
        <v>110</v>
      </c>
      <c r="J356">
        <v>80</v>
      </c>
      <c r="K356">
        <v>72</v>
      </c>
      <c r="L356">
        <v>8.5</v>
      </c>
    </row>
    <row r="357" spans="1:12" x14ac:dyDescent="0.35">
      <c r="A357" t="s">
        <v>12</v>
      </c>
      <c r="B357" t="s">
        <v>25</v>
      </c>
      <c r="C357" t="s">
        <v>14</v>
      </c>
      <c r="D357" t="s">
        <v>20</v>
      </c>
      <c r="E357">
        <v>33</v>
      </c>
      <c r="F357">
        <v>175</v>
      </c>
      <c r="G357">
        <v>89</v>
      </c>
      <c r="H357">
        <v>29.1</v>
      </c>
      <c r="I357">
        <v>110</v>
      </c>
      <c r="J357">
        <v>72</v>
      </c>
      <c r="K357">
        <v>64</v>
      </c>
      <c r="L357">
        <v>9.1</v>
      </c>
    </row>
    <row r="358" spans="1:12" x14ac:dyDescent="0.35">
      <c r="A358" t="s">
        <v>16</v>
      </c>
      <c r="B358" t="s">
        <v>24</v>
      </c>
      <c r="C358" t="s">
        <v>14</v>
      </c>
      <c r="D358" t="s">
        <v>20</v>
      </c>
      <c r="E358">
        <v>51</v>
      </c>
      <c r="F358">
        <v>164</v>
      </c>
      <c r="G358">
        <v>86</v>
      </c>
      <c r="H358">
        <v>32</v>
      </c>
      <c r="I358">
        <v>129</v>
      </c>
      <c r="J358">
        <v>82</v>
      </c>
      <c r="K358">
        <v>89</v>
      </c>
      <c r="L358">
        <v>7.5</v>
      </c>
    </row>
    <row r="359" spans="1:12" x14ac:dyDescent="0.35">
      <c r="A359" t="s">
        <v>16</v>
      </c>
      <c r="B359" t="s">
        <v>24</v>
      </c>
      <c r="C359" t="s">
        <v>14</v>
      </c>
      <c r="D359" t="s">
        <v>15</v>
      </c>
      <c r="E359">
        <v>22</v>
      </c>
      <c r="F359">
        <v>177</v>
      </c>
      <c r="G359">
        <v>61</v>
      </c>
      <c r="H359">
        <v>19.5</v>
      </c>
      <c r="I359">
        <v>128</v>
      </c>
      <c r="J359">
        <v>94</v>
      </c>
      <c r="K359">
        <v>80</v>
      </c>
      <c r="L359">
        <v>8.1999999999999993</v>
      </c>
    </row>
    <row r="360" spans="1:12" x14ac:dyDescent="0.35">
      <c r="A360" t="s">
        <v>12</v>
      </c>
      <c r="B360" t="s">
        <v>22</v>
      </c>
      <c r="C360" t="s">
        <v>14</v>
      </c>
      <c r="D360" t="s">
        <v>26</v>
      </c>
      <c r="E360">
        <v>26</v>
      </c>
      <c r="F360">
        <v>159</v>
      </c>
      <c r="G360">
        <v>75</v>
      </c>
      <c r="H360">
        <v>29.7</v>
      </c>
      <c r="I360">
        <v>138</v>
      </c>
      <c r="J360">
        <v>86</v>
      </c>
      <c r="K360">
        <v>89</v>
      </c>
      <c r="L360">
        <v>8</v>
      </c>
    </row>
    <row r="361" spans="1:12" x14ac:dyDescent="0.35">
      <c r="A361" t="s">
        <v>12</v>
      </c>
      <c r="B361" t="s">
        <v>25</v>
      </c>
      <c r="C361" t="s">
        <v>14</v>
      </c>
      <c r="D361" t="s">
        <v>18</v>
      </c>
      <c r="E361">
        <v>41</v>
      </c>
      <c r="F361">
        <v>155</v>
      </c>
      <c r="G361">
        <v>74</v>
      </c>
      <c r="H361">
        <v>30.8</v>
      </c>
      <c r="I361">
        <v>119</v>
      </c>
      <c r="J361">
        <v>91</v>
      </c>
      <c r="K361">
        <v>68</v>
      </c>
      <c r="L361">
        <v>7.6</v>
      </c>
    </row>
    <row r="362" spans="1:12" x14ac:dyDescent="0.35">
      <c r="A362" t="s">
        <v>16</v>
      </c>
      <c r="B362" t="s">
        <v>25</v>
      </c>
      <c r="C362" t="s">
        <v>19</v>
      </c>
      <c r="D362" t="s">
        <v>18</v>
      </c>
      <c r="E362">
        <v>29</v>
      </c>
      <c r="F362">
        <v>167</v>
      </c>
      <c r="G362">
        <v>80</v>
      </c>
      <c r="H362">
        <v>28.7</v>
      </c>
      <c r="I362">
        <v>127</v>
      </c>
      <c r="J362">
        <v>91</v>
      </c>
      <c r="K362">
        <v>84</v>
      </c>
      <c r="L362">
        <v>8.6999999999999993</v>
      </c>
    </row>
    <row r="363" spans="1:12" x14ac:dyDescent="0.35">
      <c r="A363" t="s">
        <v>12</v>
      </c>
      <c r="B363" t="s">
        <v>17</v>
      </c>
      <c r="C363" t="s">
        <v>14</v>
      </c>
      <c r="D363" t="s">
        <v>18</v>
      </c>
      <c r="E363">
        <v>33</v>
      </c>
      <c r="F363">
        <v>175</v>
      </c>
      <c r="G363">
        <v>58</v>
      </c>
      <c r="H363">
        <v>18.899999999999999</v>
      </c>
      <c r="I363">
        <v>137</v>
      </c>
      <c r="J363">
        <v>79</v>
      </c>
      <c r="K363">
        <v>88</v>
      </c>
      <c r="L363">
        <v>8</v>
      </c>
    </row>
    <row r="364" spans="1:12" x14ac:dyDescent="0.35">
      <c r="A364" t="s">
        <v>12</v>
      </c>
      <c r="B364" t="s">
        <v>25</v>
      </c>
      <c r="C364" t="s">
        <v>14</v>
      </c>
      <c r="D364" t="s">
        <v>15</v>
      </c>
      <c r="E364">
        <v>22</v>
      </c>
      <c r="F364">
        <v>180</v>
      </c>
      <c r="G364">
        <v>76</v>
      </c>
      <c r="H364">
        <v>23.5</v>
      </c>
      <c r="I364">
        <v>144</v>
      </c>
      <c r="J364">
        <v>90</v>
      </c>
      <c r="K364">
        <v>84</v>
      </c>
      <c r="L364">
        <v>9.4</v>
      </c>
    </row>
    <row r="365" spans="1:12" x14ac:dyDescent="0.35">
      <c r="A365" t="s">
        <v>16</v>
      </c>
      <c r="B365" t="s">
        <v>21</v>
      </c>
      <c r="C365" t="s">
        <v>14</v>
      </c>
      <c r="D365" t="s">
        <v>20</v>
      </c>
      <c r="E365">
        <v>41</v>
      </c>
      <c r="F365">
        <v>175</v>
      </c>
      <c r="G365">
        <v>69</v>
      </c>
      <c r="H365">
        <v>22.5</v>
      </c>
      <c r="I365">
        <v>140</v>
      </c>
      <c r="J365">
        <v>81</v>
      </c>
      <c r="K365">
        <v>87</v>
      </c>
      <c r="L365">
        <v>9.6</v>
      </c>
    </row>
    <row r="366" spans="1:12" x14ac:dyDescent="0.35">
      <c r="A366" t="s">
        <v>12</v>
      </c>
      <c r="B366" t="s">
        <v>22</v>
      </c>
      <c r="C366" t="s">
        <v>19</v>
      </c>
      <c r="D366" t="s">
        <v>26</v>
      </c>
      <c r="E366">
        <v>49</v>
      </c>
      <c r="F366">
        <v>172</v>
      </c>
      <c r="G366">
        <v>94</v>
      </c>
      <c r="H366">
        <v>31.8</v>
      </c>
      <c r="I366">
        <v>136</v>
      </c>
      <c r="J366">
        <v>84</v>
      </c>
      <c r="K366">
        <v>81</v>
      </c>
      <c r="L366">
        <v>8.9</v>
      </c>
    </row>
    <row r="367" spans="1:12" x14ac:dyDescent="0.35">
      <c r="A367" t="s">
        <v>12</v>
      </c>
      <c r="B367" t="s">
        <v>25</v>
      </c>
      <c r="C367" t="s">
        <v>14</v>
      </c>
      <c r="D367" t="s">
        <v>15</v>
      </c>
      <c r="E367">
        <v>58</v>
      </c>
      <c r="F367">
        <v>186</v>
      </c>
      <c r="G367">
        <v>75</v>
      </c>
      <c r="H367">
        <v>21.7</v>
      </c>
      <c r="I367">
        <v>120</v>
      </c>
      <c r="J367">
        <v>90</v>
      </c>
      <c r="K367">
        <v>65</v>
      </c>
      <c r="L367">
        <v>10</v>
      </c>
    </row>
    <row r="368" spans="1:12" x14ac:dyDescent="0.35">
      <c r="A368" t="s">
        <v>16</v>
      </c>
      <c r="B368" t="s">
        <v>17</v>
      </c>
      <c r="C368" t="s">
        <v>14</v>
      </c>
      <c r="D368" t="s">
        <v>20</v>
      </c>
      <c r="E368">
        <v>58</v>
      </c>
      <c r="F368">
        <v>171</v>
      </c>
      <c r="G368">
        <v>69</v>
      </c>
      <c r="H368">
        <v>23.6</v>
      </c>
      <c r="I368">
        <v>147</v>
      </c>
      <c r="J368">
        <v>79</v>
      </c>
      <c r="K368">
        <v>64</v>
      </c>
      <c r="L368">
        <v>8.6</v>
      </c>
    </row>
    <row r="369" spans="1:12" x14ac:dyDescent="0.35">
      <c r="A369" t="s">
        <v>16</v>
      </c>
      <c r="B369" t="s">
        <v>21</v>
      </c>
      <c r="C369" t="s">
        <v>14</v>
      </c>
      <c r="D369" t="s">
        <v>15</v>
      </c>
      <c r="E369">
        <v>33</v>
      </c>
      <c r="F369">
        <v>189</v>
      </c>
      <c r="G369">
        <v>76</v>
      </c>
      <c r="H369">
        <v>21.3</v>
      </c>
      <c r="I369">
        <v>114</v>
      </c>
      <c r="J369">
        <v>83</v>
      </c>
      <c r="K369">
        <v>84</v>
      </c>
      <c r="L369">
        <v>8.8000000000000007</v>
      </c>
    </row>
    <row r="370" spans="1:12" x14ac:dyDescent="0.35">
      <c r="A370" t="s">
        <v>12</v>
      </c>
      <c r="B370" t="s">
        <v>13</v>
      </c>
      <c r="C370" t="s">
        <v>23</v>
      </c>
      <c r="D370" t="s">
        <v>26</v>
      </c>
      <c r="E370">
        <v>58</v>
      </c>
      <c r="F370">
        <v>165</v>
      </c>
      <c r="G370">
        <v>82</v>
      </c>
      <c r="H370">
        <v>30.1</v>
      </c>
      <c r="I370">
        <v>117</v>
      </c>
      <c r="J370">
        <v>82</v>
      </c>
      <c r="K370">
        <v>69</v>
      </c>
      <c r="L370">
        <v>10</v>
      </c>
    </row>
    <row r="371" spans="1:12" x14ac:dyDescent="0.35">
      <c r="A371" t="s">
        <v>12</v>
      </c>
      <c r="B371" t="s">
        <v>13</v>
      </c>
      <c r="C371" t="s">
        <v>14</v>
      </c>
      <c r="D371" t="s">
        <v>20</v>
      </c>
      <c r="E371">
        <v>49</v>
      </c>
      <c r="F371">
        <v>175</v>
      </c>
      <c r="G371">
        <v>68</v>
      </c>
      <c r="H371">
        <v>22.2</v>
      </c>
      <c r="I371">
        <v>143</v>
      </c>
      <c r="J371">
        <v>74</v>
      </c>
      <c r="K371">
        <v>67</v>
      </c>
      <c r="L371">
        <v>8.1</v>
      </c>
    </row>
    <row r="372" spans="1:12" x14ac:dyDescent="0.35">
      <c r="A372" t="s">
        <v>16</v>
      </c>
      <c r="B372" t="s">
        <v>21</v>
      </c>
      <c r="C372" t="s">
        <v>23</v>
      </c>
      <c r="D372" t="s">
        <v>15</v>
      </c>
      <c r="E372">
        <v>36</v>
      </c>
      <c r="F372">
        <v>180</v>
      </c>
      <c r="G372">
        <v>81</v>
      </c>
      <c r="H372">
        <v>25</v>
      </c>
      <c r="I372">
        <v>121</v>
      </c>
      <c r="J372">
        <v>75</v>
      </c>
      <c r="K372">
        <v>66</v>
      </c>
      <c r="L372">
        <v>9.9</v>
      </c>
    </row>
    <row r="373" spans="1:12" x14ac:dyDescent="0.35">
      <c r="A373" t="s">
        <v>16</v>
      </c>
      <c r="B373" t="s">
        <v>17</v>
      </c>
      <c r="C373" t="s">
        <v>14</v>
      </c>
      <c r="D373" t="s">
        <v>26</v>
      </c>
      <c r="E373">
        <v>27</v>
      </c>
      <c r="F373">
        <v>158</v>
      </c>
      <c r="G373">
        <v>95</v>
      </c>
      <c r="H373">
        <v>38.1</v>
      </c>
      <c r="I373">
        <v>147</v>
      </c>
      <c r="J373">
        <v>93</v>
      </c>
      <c r="K373">
        <v>66</v>
      </c>
      <c r="L373">
        <v>7.6</v>
      </c>
    </row>
    <row r="374" spans="1:12" x14ac:dyDescent="0.35">
      <c r="A374" t="s">
        <v>16</v>
      </c>
      <c r="B374" t="s">
        <v>21</v>
      </c>
      <c r="C374" t="s">
        <v>14</v>
      </c>
      <c r="D374" t="s">
        <v>18</v>
      </c>
      <c r="E374">
        <v>41</v>
      </c>
      <c r="F374">
        <v>188</v>
      </c>
      <c r="G374">
        <v>94</v>
      </c>
      <c r="H374">
        <v>26.6</v>
      </c>
      <c r="I374">
        <v>110</v>
      </c>
      <c r="J374">
        <v>71</v>
      </c>
      <c r="K374">
        <v>65</v>
      </c>
      <c r="L374">
        <v>8.6</v>
      </c>
    </row>
    <row r="375" spans="1:12" x14ac:dyDescent="0.35">
      <c r="A375" t="s">
        <v>16</v>
      </c>
      <c r="B375" t="s">
        <v>22</v>
      </c>
      <c r="C375" t="s">
        <v>14</v>
      </c>
      <c r="D375" t="s">
        <v>26</v>
      </c>
      <c r="E375">
        <v>35</v>
      </c>
      <c r="F375">
        <v>172</v>
      </c>
      <c r="G375">
        <v>82</v>
      </c>
      <c r="H375">
        <v>27.7</v>
      </c>
      <c r="I375">
        <v>140</v>
      </c>
      <c r="J375">
        <v>91</v>
      </c>
      <c r="K375">
        <v>80</v>
      </c>
      <c r="L375">
        <v>7.7</v>
      </c>
    </row>
    <row r="376" spans="1:12" x14ac:dyDescent="0.35">
      <c r="A376" t="s">
        <v>12</v>
      </c>
      <c r="B376" t="s">
        <v>22</v>
      </c>
      <c r="C376" t="s">
        <v>14</v>
      </c>
      <c r="D376" t="s">
        <v>18</v>
      </c>
      <c r="E376">
        <v>23</v>
      </c>
      <c r="F376">
        <v>189</v>
      </c>
      <c r="G376">
        <v>80</v>
      </c>
      <c r="H376">
        <v>22.4</v>
      </c>
      <c r="I376">
        <v>113</v>
      </c>
      <c r="J376">
        <v>86</v>
      </c>
      <c r="K376">
        <v>88</v>
      </c>
      <c r="L376">
        <v>9.3000000000000007</v>
      </c>
    </row>
    <row r="377" spans="1:12" x14ac:dyDescent="0.35">
      <c r="A377" t="s">
        <v>16</v>
      </c>
      <c r="B377" t="s">
        <v>13</v>
      </c>
      <c r="C377" t="s">
        <v>14</v>
      </c>
      <c r="D377" t="s">
        <v>15</v>
      </c>
      <c r="E377">
        <v>30</v>
      </c>
      <c r="F377">
        <v>183</v>
      </c>
      <c r="G377">
        <v>56</v>
      </c>
      <c r="H377">
        <v>16.7</v>
      </c>
      <c r="I377">
        <v>114</v>
      </c>
      <c r="J377">
        <v>73</v>
      </c>
      <c r="K377">
        <v>79</v>
      </c>
      <c r="L377">
        <v>9</v>
      </c>
    </row>
    <row r="378" spans="1:12" x14ac:dyDescent="0.35">
      <c r="A378" t="s">
        <v>16</v>
      </c>
      <c r="B378" t="s">
        <v>25</v>
      </c>
      <c r="C378" t="s">
        <v>14</v>
      </c>
      <c r="D378" t="s">
        <v>20</v>
      </c>
      <c r="E378">
        <v>58</v>
      </c>
      <c r="F378">
        <v>183</v>
      </c>
      <c r="G378">
        <v>79</v>
      </c>
      <c r="H378">
        <v>23.6</v>
      </c>
      <c r="I378">
        <v>139</v>
      </c>
      <c r="J378">
        <v>83</v>
      </c>
      <c r="K378">
        <v>62</v>
      </c>
      <c r="L378">
        <v>9.3000000000000007</v>
      </c>
    </row>
    <row r="379" spans="1:12" x14ac:dyDescent="0.35">
      <c r="A379" t="s">
        <v>12</v>
      </c>
      <c r="B379" t="s">
        <v>17</v>
      </c>
      <c r="C379" t="s">
        <v>23</v>
      </c>
      <c r="D379" t="s">
        <v>20</v>
      </c>
      <c r="E379">
        <v>41</v>
      </c>
      <c r="F379">
        <v>175</v>
      </c>
      <c r="G379">
        <v>57</v>
      </c>
      <c r="H379">
        <v>18.600000000000001</v>
      </c>
      <c r="I379">
        <v>133</v>
      </c>
      <c r="J379">
        <v>79</v>
      </c>
      <c r="K379">
        <v>78</v>
      </c>
      <c r="L379">
        <v>8.4</v>
      </c>
    </row>
    <row r="380" spans="1:12" x14ac:dyDescent="0.35">
      <c r="A380" t="s">
        <v>16</v>
      </c>
      <c r="B380" t="s">
        <v>13</v>
      </c>
      <c r="C380" t="s">
        <v>14</v>
      </c>
      <c r="D380" t="s">
        <v>15</v>
      </c>
      <c r="E380">
        <v>47</v>
      </c>
      <c r="F380">
        <v>167</v>
      </c>
      <c r="G380">
        <v>62</v>
      </c>
      <c r="H380">
        <v>22.2</v>
      </c>
      <c r="I380">
        <v>112</v>
      </c>
      <c r="J380">
        <v>72</v>
      </c>
      <c r="K380">
        <v>81</v>
      </c>
      <c r="L380">
        <v>8.4</v>
      </c>
    </row>
    <row r="381" spans="1:12" x14ac:dyDescent="0.35">
      <c r="A381" t="s">
        <v>12</v>
      </c>
      <c r="B381" t="s">
        <v>25</v>
      </c>
      <c r="C381" t="s">
        <v>14</v>
      </c>
      <c r="D381" t="s">
        <v>20</v>
      </c>
      <c r="E381">
        <v>50</v>
      </c>
      <c r="F381">
        <v>171</v>
      </c>
      <c r="G381">
        <v>98</v>
      </c>
      <c r="H381">
        <v>33.5</v>
      </c>
      <c r="I381">
        <v>120</v>
      </c>
      <c r="J381">
        <v>94</v>
      </c>
      <c r="K381">
        <v>74</v>
      </c>
      <c r="L381">
        <v>7.6</v>
      </c>
    </row>
    <row r="382" spans="1:12" x14ac:dyDescent="0.35">
      <c r="A382" t="s">
        <v>16</v>
      </c>
      <c r="B382" t="s">
        <v>25</v>
      </c>
      <c r="C382" t="s">
        <v>14</v>
      </c>
      <c r="D382" t="s">
        <v>20</v>
      </c>
      <c r="E382">
        <v>22</v>
      </c>
      <c r="F382">
        <v>163</v>
      </c>
      <c r="G382">
        <v>87</v>
      </c>
      <c r="H382">
        <v>32.700000000000003</v>
      </c>
      <c r="I382">
        <v>113</v>
      </c>
      <c r="J382">
        <v>72</v>
      </c>
      <c r="K382">
        <v>63</v>
      </c>
      <c r="L382">
        <v>8.4</v>
      </c>
    </row>
    <row r="383" spans="1:12" x14ac:dyDescent="0.35">
      <c r="A383" t="s">
        <v>16</v>
      </c>
      <c r="B383" t="s">
        <v>22</v>
      </c>
      <c r="C383" t="s">
        <v>14</v>
      </c>
      <c r="D383" t="s">
        <v>18</v>
      </c>
      <c r="E383">
        <v>56</v>
      </c>
      <c r="F383">
        <v>155</v>
      </c>
      <c r="G383">
        <v>96</v>
      </c>
      <c r="H383">
        <v>40</v>
      </c>
      <c r="I383">
        <v>135</v>
      </c>
      <c r="J383">
        <v>84</v>
      </c>
      <c r="K383">
        <v>87</v>
      </c>
      <c r="L383">
        <v>9.8000000000000007</v>
      </c>
    </row>
    <row r="384" spans="1:12" x14ac:dyDescent="0.35">
      <c r="A384" t="s">
        <v>16</v>
      </c>
      <c r="B384" t="s">
        <v>24</v>
      </c>
      <c r="C384" t="s">
        <v>14</v>
      </c>
      <c r="D384" t="s">
        <v>15</v>
      </c>
      <c r="E384">
        <v>27</v>
      </c>
      <c r="F384">
        <v>156</v>
      </c>
      <c r="G384">
        <v>89</v>
      </c>
      <c r="H384">
        <v>36.6</v>
      </c>
      <c r="I384">
        <v>136</v>
      </c>
      <c r="J384">
        <v>75</v>
      </c>
      <c r="K384">
        <v>71</v>
      </c>
      <c r="L384">
        <v>8.4</v>
      </c>
    </row>
    <row r="385" spans="1:12" x14ac:dyDescent="0.35">
      <c r="A385" t="s">
        <v>12</v>
      </c>
      <c r="B385" t="s">
        <v>24</v>
      </c>
      <c r="C385" t="s">
        <v>14</v>
      </c>
      <c r="D385" t="s">
        <v>26</v>
      </c>
      <c r="E385">
        <v>58</v>
      </c>
      <c r="F385">
        <v>183</v>
      </c>
      <c r="G385">
        <v>60</v>
      </c>
      <c r="H385">
        <v>17.899999999999999</v>
      </c>
      <c r="I385">
        <v>136</v>
      </c>
      <c r="J385">
        <v>86</v>
      </c>
      <c r="K385">
        <v>65</v>
      </c>
      <c r="L385">
        <v>9.6</v>
      </c>
    </row>
    <row r="386" spans="1:12" x14ac:dyDescent="0.35">
      <c r="A386" t="s">
        <v>12</v>
      </c>
      <c r="B386" t="s">
        <v>21</v>
      </c>
      <c r="C386" t="s">
        <v>14</v>
      </c>
      <c r="D386" t="s">
        <v>18</v>
      </c>
      <c r="E386">
        <v>26</v>
      </c>
      <c r="F386">
        <v>187</v>
      </c>
      <c r="G386">
        <v>93</v>
      </c>
      <c r="H386">
        <v>26.6</v>
      </c>
      <c r="I386">
        <v>115</v>
      </c>
      <c r="J386">
        <v>81</v>
      </c>
      <c r="K386">
        <v>78</v>
      </c>
      <c r="L386">
        <v>9.6</v>
      </c>
    </row>
    <row r="387" spans="1:12" x14ac:dyDescent="0.35">
      <c r="A387" t="s">
        <v>16</v>
      </c>
      <c r="B387" t="s">
        <v>22</v>
      </c>
      <c r="C387" t="s">
        <v>23</v>
      </c>
      <c r="D387" t="s">
        <v>15</v>
      </c>
      <c r="E387">
        <v>54</v>
      </c>
      <c r="F387">
        <v>164</v>
      </c>
      <c r="G387">
        <v>77</v>
      </c>
      <c r="H387">
        <v>28.6</v>
      </c>
      <c r="I387">
        <v>124</v>
      </c>
      <c r="J387">
        <v>91</v>
      </c>
      <c r="K387">
        <v>63</v>
      </c>
      <c r="L387">
        <v>8.4</v>
      </c>
    </row>
    <row r="388" spans="1:12" x14ac:dyDescent="0.35">
      <c r="A388" t="s">
        <v>12</v>
      </c>
      <c r="B388" t="s">
        <v>25</v>
      </c>
      <c r="C388" t="s">
        <v>19</v>
      </c>
      <c r="D388" t="s">
        <v>18</v>
      </c>
      <c r="E388">
        <v>35</v>
      </c>
      <c r="F388">
        <v>175</v>
      </c>
      <c r="G388">
        <v>79</v>
      </c>
      <c r="H388">
        <v>25.8</v>
      </c>
      <c r="I388">
        <v>139</v>
      </c>
      <c r="J388">
        <v>89</v>
      </c>
      <c r="K388">
        <v>74</v>
      </c>
      <c r="L388">
        <v>9.1</v>
      </c>
    </row>
    <row r="389" spans="1:12" x14ac:dyDescent="0.35">
      <c r="A389" t="s">
        <v>12</v>
      </c>
      <c r="B389" t="s">
        <v>17</v>
      </c>
      <c r="C389" t="s">
        <v>14</v>
      </c>
      <c r="D389" t="s">
        <v>26</v>
      </c>
      <c r="E389">
        <v>33</v>
      </c>
      <c r="F389">
        <v>182</v>
      </c>
      <c r="G389">
        <v>97</v>
      </c>
      <c r="H389">
        <v>29.3</v>
      </c>
      <c r="I389">
        <v>146</v>
      </c>
      <c r="J389">
        <v>93</v>
      </c>
      <c r="K389">
        <v>68</v>
      </c>
      <c r="L389">
        <v>7.7</v>
      </c>
    </row>
    <row r="390" spans="1:12" x14ac:dyDescent="0.35">
      <c r="A390" t="s">
        <v>12</v>
      </c>
      <c r="B390" t="s">
        <v>24</v>
      </c>
      <c r="C390" t="s">
        <v>14</v>
      </c>
      <c r="D390" t="s">
        <v>26</v>
      </c>
      <c r="E390">
        <v>41</v>
      </c>
      <c r="F390">
        <v>165</v>
      </c>
      <c r="G390">
        <v>73</v>
      </c>
      <c r="H390">
        <v>26.8</v>
      </c>
      <c r="I390">
        <v>146</v>
      </c>
      <c r="J390">
        <v>80</v>
      </c>
      <c r="K390">
        <v>64</v>
      </c>
      <c r="L390">
        <v>7.8</v>
      </c>
    </row>
    <row r="391" spans="1:12" x14ac:dyDescent="0.35">
      <c r="A391" t="s">
        <v>12</v>
      </c>
      <c r="B391" t="s">
        <v>25</v>
      </c>
      <c r="C391" t="s">
        <v>14</v>
      </c>
      <c r="D391" t="s">
        <v>15</v>
      </c>
      <c r="E391">
        <v>45</v>
      </c>
      <c r="F391">
        <v>188</v>
      </c>
      <c r="G391">
        <v>59</v>
      </c>
      <c r="H391">
        <v>16.7</v>
      </c>
      <c r="I391">
        <v>146</v>
      </c>
      <c r="J391">
        <v>94</v>
      </c>
      <c r="K391">
        <v>72</v>
      </c>
      <c r="L391">
        <v>7.6</v>
      </c>
    </row>
    <row r="392" spans="1:12" x14ac:dyDescent="0.35">
      <c r="A392" t="s">
        <v>12</v>
      </c>
      <c r="B392" t="s">
        <v>24</v>
      </c>
      <c r="C392" t="s">
        <v>14</v>
      </c>
      <c r="D392" t="s">
        <v>26</v>
      </c>
      <c r="E392">
        <v>55</v>
      </c>
      <c r="F392">
        <v>162</v>
      </c>
      <c r="G392">
        <v>65</v>
      </c>
      <c r="H392">
        <v>24.8</v>
      </c>
      <c r="I392">
        <v>144</v>
      </c>
      <c r="J392">
        <v>73</v>
      </c>
      <c r="K392">
        <v>82</v>
      </c>
      <c r="L392">
        <v>9</v>
      </c>
    </row>
    <row r="393" spans="1:12" x14ac:dyDescent="0.35">
      <c r="A393" t="s">
        <v>12</v>
      </c>
      <c r="B393" t="s">
        <v>24</v>
      </c>
      <c r="C393" t="s">
        <v>14</v>
      </c>
      <c r="D393" t="s">
        <v>18</v>
      </c>
      <c r="E393">
        <v>46</v>
      </c>
      <c r="F393">
        <v>176</v>
      </c>
      <c r="G393">
        <v>66</v>
      </c>
      <c r="H393">
        <v>21.3</v>
      </c>
      <c r="I393">
        <v>132</v>
      </c>
      <c r="J393">
        <v>75</v>
      </c>
      <c r="K393">
        <v>85</v>
      </c>
      <c r="L393">
        <v>8.6</v>
      </c>
    </row>
    <row r="394" spans="1:12" x14ac:dyDescent="0.35">
      <c r="A394" t="s">
        <v>16</v>
      </c>
      <c r="B394" t="s">
        <v>24</v>
      </c>
      <c r="C394" t="s">
        <v>14</v>
      </c>
      <c r="D394" t="s">
        <v>26</v>
      </c>
      <c r="E394">
        <v>50</v>
      </c>
      <c r="F394">
        <v>162</v>
      </c>
      <c r="G394">
        <v>64</v>
      </c>
      <c r="H394">
        <v>24.4</v>
      </c>
      <c r="I394">
        <v>115</v>
      </c>
      <c r="J394">
        <v>70</v>
      </c>
      <c r="K394">
        <v>77</v>
      </c>
      <c r="L394">
        <v>8.9</v>
      </c>
    </row>
    <row r="395" spans="1:12" x14ac:dyDescent="0.35">
      <c r="A395" t="s">
        <v>16</v>
      </c>
      <c r="B395" t="s">
        <v>17</v>
      </c>
      <c r="C395" t="s">
        <v>23</v>
      </c>
      <c r="D395" t="s">
        <v>18</v>
      </c>
      <c r="E395">
        <v>52</v>
      </c>
      <c r="F395">
        <v>169</v>
      </c>
      <c r="G395">
        <v>62</v>
      </c>
      <c r="H395">
        <v>21.7</v>
      </c>
      <c r="I395">
        <v>113</v>
      </c>
      <c r="J395">
        <v>89</v>
      </c>
      <c r="K395">
        <v>89</v>
      </c>
      <c r="L395">
        <v>8.8000000000000007</v>
      </c>
    </row>
    <row r="396" spans="1:12" x14ac:dyDescent="0.35">
      <c r="A396" t="s">
        <v>12</v>
      </c>
      <c r="B396" t="s">
        <v>22</v>
      </c>
      <c r="C396" t="s">
        <v>14</v>
      </c>
      <c r="D396" t="s">
        <v>18</v>
      </c>
      <c r="E396">
        <v>44</v>
      </c>
      <c r="F396">
        <v>171</v>
      </c>
      <c r="G396">
        <v>78</v>
      </c>
      <c r="H396">
        <v>26.7</v>
      </c>
      <c r="I396">
        <v>127</v>
      </c>
      <c r="J396">
        <v>92</v>
      </c>
      <c r="K396">
        <v>89</v>
      </c>
      <c r="L396">
        <v>8.4</v>
      </c>
    </row>
    <row r="397" spans="1:12" x14ac:dyDescent="0.35">
      <c r="A397" t="s">
        <v>16</v>
      </c>
      <c r="B397" t="s">
        <v>17</v>
      </c>
      <c r="C397" t="s">
        <v>14</v>
      </c>
      <c r="D397" t="s">
        <v>26</v>
      </c>
      <c r="E397">
        <v>59</v>
      </c>
      <c r="F397">
        <v>177</v>
      </c>
      <c r="G397">
        <v>82</v>
      </c>
      <c r="H397">
        <v>26.2</v>
      </c>
      <c r="I397">
        <v>118</v>
      </c>
      <c r="J397">
        <v>85</v>
      </c>
      <c r="K397">
        <v>64</v>
      </c>
      <c r="L397">
        <v>9.1999999999999993</v>
      </c>
    </row>
    <row r="398" spans="1:12" x14ac:dyDescent="0.35">
      <c r="A398" t="s">
        <v>16</v>
      </c>
      <c r="B398" t="s">
        <v>13</v>
      </c>
      <c r="C398" t="s">
        <v>14</v>
      </c>
      <c r="D398" t="s">
        <v>15</v>
      </c>
      <c r="E398">
        <v>41</v>
      </c>
      <c r="F398">
        <v>178</v>
      </c>
      <c r="G398">
        <v>95</v>
      </c>
      <c r="H398">
        <v>30</v>
      </c>
      <c r="I398">
        <v>138</v>
      </c>
      <c r="J398">
        <v>84</v>
      </c>
      <c r="K398">
        <v>84</v>
      </c>
      <c r="L398">
        <v>9.4</v>
      </c>
    </row>
    <row r="399" spans="1:12" x14ac:dyDescent="0.35">
      <c r="A399" t="s">
        <v>16</v>
      </c>
      <c r="B399" t="s">
        <v>25</v>
      </c>
      <c r="C399" t="s">
        <v>14</v>
      </c>
      <c r="D399" t="s">
        <v>20</v>
      </c>
      <c r="E399">
        <v>44</v>
      </c>
      <c r="F399">
        <v>173</v>
      </c>
      <c r="G399">
        <v>90</v>
      </c>
      <c r="H399">
        <v>30.1</v>
      </c>
      <c r="I399">
        <v>122</v>
      </c>
      <c r="J399">
        <v>86</v>
      </c>
      <c r="K399">
        <v>75</v>
      </c>
      <c r="L399">
        <v>7.5</v>
      </c>
    </row>
    <row r="400" spans="1:12" x14ac:dyDescent="0.35">
      <c r="A400" t="s">
        <v>16</v>
      </c>
      <c r="B400" t="s">
        <v>22</v>
      </c>
      <c r="C400" t="s">
        <v>14</v>
      </c>
      <c r="D400" t="s">
        <v>26</v>
      </c>
      <c r="E400">
        <v>37</v>
      </c>
      <c r="F400">
        <v>159</v>
      </c>
      <c r="G400">
        <v>91</v>
      </c>
      <c r="H400">
        <v>36</v>
      </c>
      <c r="I400">
        <v>126</v>
      </c>
      <c r="J400">
        <v>77</v>
      </c>
      <c r="K400">
        <v>86</v>
      </c>
      <c r="L400">
        <v>8</v>
      </c>
    </row>
    <row r="401" spans="1:12" x14ac:dyDescent="0.35">
      <c r="A401" t="s">
        <v>12</v>
      </c>
      <c r="B401" t="s">
        <v>22</v>
      </c>
      <c r="C401" t="s">
        <v>14</v>
      </c>
      <c r="D401" t="s">
        <v>18</v>
      </c>
      <c r="E401">
        <v>29</v>
      </c>
      <c r="F401">
        <v>186</v>
      </c>
      <c r="G401">
        <v>75</v>
      </c>
      <c r="H401">
        <v>21.7</v>
      </c>
      <c r="I401">
        <v>141</v>
      </c>
      <c r="J401">
        <v>81</v>
      </c>
      <c r="K401">
        <v>78</v>
      </c>
      <c r="L401">
        <v>9.3000000000000007</v>
      </c>
    </row>
    <row r="402" spans="1:12" x14ac:dyDescent="0.35">
      <c r="A402" t="s">
        <v>16</v>
      </c>
      <c r="B402" t="s">
        <v>22</v>
      </c>
      <c r="C402" t="s">
        <v>14</v>
      </c>
      <c r="D402" t="s">
        <v>18</v>
      </c>
      <c r="E402">
        <v>42</v>
      </c>
      <c r="F402">
        <v>155</v>
      </c>
      <c r="G402">
        <v>62</v>
      </c>
      <c r="H402">
        <v>25.8</v>
      </c>
      <c r="I402">
        <v>131</v>
      </c>
      <c r="J402">
        <v>91</v>
      </c>
      <c r="K402">
        <v>73</v>
      </c>
      <c r="L402">
        <v>8.5</v>
      </c>
    </row>
    <row r="403" spans="1:12" x14ac:dyDescent="0.35">
      <c r="A403" t="s">
        <v>16</v>
      </c>
      <c r="B403" t="s">
        <v>22</v>
      </c>
      <c r="C403" t="s">
        <v>23</v>
      </c>
      <c r="D403" t="s">
        <v>26</v>
      </c>
      <c r="E403">
        <v>22</v>
      </c>
      <c r="F403">
        <v>177</v>
      </c>
      <c r="G403">
        <v>63</v>
      </c>
      <c r="H403">
        <v>20.100000000000001</v>
      </c>
      <c r="I403">
        <v>113</v>
      </c>
      <c r="J403">
        <v>90</v>
      </c>
      <c r="K403">
        <v>84</v>
      </c>
      <c r="L403">
        <v>9.1999999999999993</v>
      </c>
    </row>
    <row r="404" spans="1:12" x14ac:dyDescent="0.35">
      <c r="A404" t="s">
        <v>12</v>
      </c>
      <c r="B404" t="s">
        <v>17</v>
      </c>
      <c r="C404" t="s">
        <v>14</v>
      </c>
      <c r="D404" t="s">
        <v>15</v>
      </c>
      <c r="E404">
        <v>29</v>
      </c>
      <c r="F404">
        <v>162</v>
      </c>
      <c r="G404">
        <v>69</v>
      </c>
      <c r="H404">
        <v>26.3</v>
      </c>
      <c r="I404">
        <v>114</v>
      </c>
      <c r="J404">
        <v>79</v>
      </c>
      <c r="K404">
        <v>89</v>
      </c>
      <c r="L404">
        <v>8.4</v>
      </c>
    </row>
    <row r="405" spans="1:12" x14ac:dyDescent="0.35">
      <c r="A405" t="s">
        <v>12</v>
      </c>
      <c r="B405" t="s">
        <v>22</v>
      </c>
      <c r="C405" t="s">
        <v>14</v>
      </c>
      <c r="D405" t="s">
        <v>15</v>
      </c>
      <c r="E405">
        <v>50</v>
      </c>
      <c r="F405">
        <v>167</v>
      </c>
      <c r="G405">
        <v>94</v>
      </c>
      <c r="H405">
        <v>33.700000000000003</v>
      </c>
      <c r="I405">
        <v>146</v>
      </c>
      <c r="J405">
        <v>84</v>
      </c>
      <c r="K405">
        <v>75</v>
      </c>
      <c r="L405">
        <v>8.5</v>
      </c>
    </row>
    <row r="406" spans="1:12" x14ac:dyDescent="0.35">
      <c r="A406" t="s">
        <v>16</v>
      </c>
      <c r="B406" t="s">
        <v>21</v>
      </c>
      <c r="C406" t="s">
        <v>14</v>
      </c>
      <c r="D406" t="s">
        <v>18</v>
      </c>
      <c r="E406">
        <v>53</v>
      </c>
      <c r="F406">
        <v>162</v>
      </c>
      <c r="G406">
        <v>72</v>
      </c>
      <c r="H406">
        <v>27.4</v>
      </c>
      <c r="I406">
        <v>122</v>
      </c>
      <c r="J406">
        <v>78</v>
      </c>
      <c r="K406">
        <v>86</v>
      </c>
      <c r="L406">
        <v>7.9</v>
      </c>
    </row>
    <row r="407" spans="1:12" x14ac:dyDescent="0.35">
      <c r="A407" t="s">
        <v>16</v>
      </c>
      <c r="B407" t="s">
        <v>25</v>
      </c>
      <c r="C407" t="s">
        <v>14</v>
      </c>
      <c r="D407" t="s">
        <v>18</v>
      </c>
      <c r="E407">
        <v>59</v>
      </c>
      <c r="F407">
        <v>177</v>
      </c>
      <c r="G407">
        <v>96</v>
      </c>
      <c r="H407">
        <v>30.6</v>
      </c>
      <c r="I407">
        <v>143</v>
      </c>
      <c r="J407">
        <v>71</v>
      </c>
      <c r="K407">
        <v>74</v>
      </c>
      <c r="L407">
        <v>8.1</v>
      </c>
    </row>
    <row r="408" spans="1:12" x14ac:dyDescent="0.35">
      <c r="A408" t="s">
        <v>16</v>
      </c>
      <c r="B408" t="s">
        <v>22</v>
      </c>
      <c r="C408" t="s">
        <v>14</v>
      </c>
      <c r="D408" t="s">
        <v>15</v>
      </c>
      <c r="E408">
        <v>26</v>
      </c>
      <c r="F408">
        <v>155</v>
      </c>
      <c r="G408">
        <v>74</v>
      </c>
      <c r="H408">
        <v>30.8</v>
      </c>
      <c r="I408">
        <v>131</v>
      </c>
      <c r="J408">
        <v>74</v>
      </c>
      <c r="K408">
        <v>81</v>
      </c>
      <c r="L408">
        <v>9</v>
      </c>
    </row>
    <row r="409" spans="1:12" x14ac:dyDescent="0.35">
      <c r="A409" t="s">
        <v>16</v>
      </c>
      <c r="B409" t="s">
        <v>25</v>
      </c>
      <c r="C409" t="s">
        <v>23</v>
      </c>
      <c r="D409" t="s">
        <v>20</v>
      </c>
      <c r="E409">
        <v>43</v>
      </c>
      <c r="F409">
        <v>178</v>
      </c>
      <c r="G409">
        <v>60</v>
      </c>
      <c r="H409">
        <v>18.899999999999999</v>
      </c>
      <c r="I409">
        <v>132</v>
      </c>
      <c r="J409">
        <v>75</v>
      </c>
      <c r="K409">
        <v>63</v>
      </c>
      <c r="L409">
        <v>8.6</v>
      </c>
    </row>
    <row r="410" spans="1:12" x14ac:dyDescent="0.35">
      <c r="A410" t="s">
        <v>16</v>
      </c>
      <c r="B410" t="s">
        <v>21</v>
      </c>
      <c r="C410" t="s">
        <v>23</v>
      </c>
      <c r="D410" t="s">
        <v>26</v>
      </c>
      <c r="E410">
        <v>55</v>
      </c>
      <c r="F410">
        <v>189</v>
      </c>
      <c r="G410">
        <v>66</v>
      </c>
      <c r="H410">
        <v>18.5</v>
      </c>
      <c r="I410">
        <v>112</v>
      </c>
      <c r="J410">
        <v>76</v>
      </c>
      <c r="K410">
        <v>66</v>
      </c>
      <c r="L410">
        <v>9.4</v>
      </c>
    </row>
    <row r="411" spans="1:12" x14ac:dyDescent="0.35">
      <c r="A411" t="s">
        <v>16</v>
      </c>
      <c r="B411" t="s">
        <v>21</v>
      </c>
      <c r="C411" t="s">
        <v>23</v>
      </c>
      <c r="D411" t="s">
        <v>18</v>
      </c>
      <c r="E411">
        <v>22</v>
      </c>
      <c r="F411">
        <v>178</v>
      </c>
      <c r="G411">
        <v>56</v>
      </c>
      <c r="H411">
        <v>17.7</v>
      </c>
      <c r="I411">
        <v>143</v>
      </c>
      <c r="J411">
        <v>90</v>
      </c>
      <c r="K411">
        <v>75</v>
      </c>
      <c r="L411">
        <v>9.6</v>
      </c>
    </row>
    <row r="412" spans="1:12" x14ac:dyDescent="0.35">
      <c r="A412" t="s">
        <v>12</v>
      </c>
      <c r="B412" t="s">
        <v>25</v>
      </c>
      <c r="C412" t="s">
        <v>14</v>
      </c>
      <c r="D412" t="s">
        <v>18</v>
      </c>
      <c r="E412">
        <v>47</v>
      </c>
      <c r="F412">
        <v>171</v>
      </c>
      <c r="G412">
        <v>61</v>
      </c>
      <c r="H412">
        <v>20.9</v>
      </c>
      <c r="I412">
        <v>141</v>
      </c>
      <c r="J412">
        <v>94</v>
      </c>
      <c r="K412">
        <v>83</v>
      </c>
      <c r="L412">
        <v>8.9</v>
      </c>
    </row>
    <row r="413" spans="1:12" x14ac:dyDescent="0.35">
      <c r="A413" t="s">
        <v>16</v>
      </c>
      <c r="B413" t="s">
        <v>24</v>
      </c>
      <c r="C413" t="s">
        <v>14</v>
      </c>
      <c r="D413" t="s">
        <v>15</v>
      </c>
      <c r="E413">
        <v>31</v>
      </c>
      <c r="F413">
        <v>159</v>
      </c>
      <c r="G413">
        <v>70</v>
      </c>
      <c r="H413">
        <v>27.7</v>
      </c>
      <c r="I413">
        <v>130</v>
      </c>
      <c r="J413">
        <v>70</v>
      </c>
      <c r="K413">
        <v>81</v>
      </c>
      <c r="L413">
        <v>9.4</v>
      </c>
    </row>
    <row r="414" spans="1:12" x14ac:dyDescent="0.35">
      <c r="A414" t="s">
        <v>16</v>
      </c>
      <c r="B414" t="s">
        <v>13</v>
      </c>
      <c r="C414" t="s">
        <v>14</v>
      </c>
      <c r="D414" t="s">
        <v>26</v>
      </c>
      <c r="E414">
        <v>51</v>
      </c>
      <c r="F414">
        <v>174</v>
      </c>
      <c r="G414">
        <v>57</v>
      </c>
      <c r="H414">
        <v>18.8</v>
      </c>
      <c r="I414">
        <v>130</v>
      </c>
      <c r="J414">
        <v>92</v>
      </c>
      <c r="K414">
        <v>80</v>
      </c>
      <c r="L414">
        <v>8.3000000000000007</v>
      </c>
    </row>
    <row r="415" spans="1:12" x14ac:dyDescent="0.35">
      <c r="A415" t="s">
        <v>12</v>
      </c>
      <c r="B415" t="s">
        <v>24</v>
      </c>
      <c r="C415" t="s">
        <v>14</v>
      </c>
      <c r="D415" t="s">
        <v>15</v>
      </c>
      <c r="E415">
        <v>39</v>
      </c>
      <c r="F415">
        <v>175</v>
      </c>
      <c r="G415">
        <v>99</v>
      </c>
      <c r="H415">
        <v>32.299999999999997</v>
      </c>
      <c r="I415">
        <v>120</v>
      </c>
      <c r="J415">
        <v>76</v>
      </c>
      <c r="K415">
        <v>81</v>
      </c>
      <c r="L415">
        <v>8.5</v>
      </c>
    </row>
    <row r="416" spans="1:12" x14ac:dyDescent="0.35">
      <c r="A416" t="s">
        <v>12</v>
      </c>
      <c r="B416" t="s">
        <v>24</v>
      </c>
      <c r="C416" t="s">
        <v>23</v>
      </c>
      <c r="D416" t="s">
        <v>26</v>
      </c>
      <c r="E416">
        <v>38</v>
      </c>
      <c r="F416">
        <v>185</v>
      </c>
      <c r="G416">
        <v>57</v>
      </c>
      <c r="H416">
        <v>16.7</v>
      </c>
      <c r="I416">
        <v>148</v>
      </c>
      <c r="J416">
        <v>89</v>
      </c>
      <c r="K416">
        <v>80</v>
      </c>
      <c r="L416">
        <v>9.3000000000000007</v>
      </c>
    </row>
    <row r="417" spans="1:12" x14ac:dyDescent="0.35">
      <c r="A417" t="s">
        <v>12</v>
      </c>
      <c r="B417" t="s">
        <v>17</v>
      </c>
      <c r="C417" t="s">
        <v>14</v>
      </c>
      <c r="D417" t="s">
        <v>26</v>
      </c>
      <c r="E417">
        <v>47</v>
      </c>
      <c r="F417">
        <v>165</v>
      </c>
      <c r="G417">
        <v>81</v>
      </c>
      <c r="H417">
        <v>29.8</v>
      </c>
      <c r="I417">
        <v>113</v>
      </c>
      <c r="J417">
        <v>94</v>
      </c>
      <c r="K417">
        <v>67</v>
      </c>
      <c r="L417">
        <v>8.5</v>
      </c>
    </row>
    <row r="418" spans="1:12" x14ac:dyDescent="0.35">
      <c r="A418" t="s">
        <v>12</v>
      </c>
      <c r="B418" t="s">
        <v>24</v>
      </c>
      <c r="C418" t="s">
        <v>14</v>
      </c>
      <c r="D418" t="s">
        <v>26</v>
      </c>
      <c r="E418">
        <v>29</v>
      </c>
      <c r="F418">
        <v>169</v>
      </c>
      <c r="G418">
        <v>97</v>
      </c>
      <c r="H418">
        <v>34</v>
      </c>
      <c r="I418">
        <v>110</v>
      </c>
      <c r="J418">
        <v>81</v>
      </c>
      <c r="K418">
        <v>76</v>
      </c>
      <c r="L418">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8"/>
  <sheetViews>
    <sheetView zoomScale="87" zoomScaleNormal="87" workbookViewId="0">
      <selection activeCell="N2" sqref="N1:N2"/>
    </sheetView>
  </sheetViews>
  <sheetFormatPr defaultRowHeight="14.5" x14ac:dyDescent="0.35"/>
  <cols>
    <col min="1" max="1" width="9.6328125" bestFit="1" customWidth="1"/>
    <col min="2" max="2" width="15" bestFit="1" customWidth="1"/>
    <col min="3" max="3" width="19.54296875" bestFit="1" customWidth="1"/>
    <col min="4" max="4" width="12" bestFit="1" customWidth="1"/>
    <col min="5" max="5" width="5.90625" customWidth="1"/>
    <col min="6" max="6" width="13.36328125" bestFit="1" customWidth="1"/>
    <col min="7" max="7" width="13.7265625" bestFit="1" customWidth="1"/>
    <col min="8" max="8" width="5" bestFit="1" customWidth="1"/>
    <col min="9" max="9" width="32.26953125" bestFit="1" customWidth="1"/>
    <col min="10" max="10" width="33.36328125" bestFit="1" customWidth="1"/>
    <col min="11" max="11" width="15.7265625" bestFit="1" customWidth="1"/>
    <col min="12" max="12" width="16.26953125" bestFit="1" customWidth="1"/>
  </cols>
  <sheetData>
    <row r="1" spans="1:12" s="1" customFormat="1" ht="17" x14ac:dyDescent="0.4">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v>38</v>
      </c>
      <c r="F2">
        <v>166</v>
      </c>
      <c r="G2">
        <v>73</v>
      </c>
      <c r="H2">
        <v>26.5</v>
      </c>
      <c r="I2">
        <v>149</v>
      </c>
      <c r="J2">
        <v>93</v>
      </c>
      <c r="K2">
        <v>75</v>
      </c>
      <c r="L2">
        <v>8.5</v>
      </c>
    </row>
    <row r="3" spans="1:12" x14ac:dyDescent="0.35">
      <c r="A3" t="s">
        <v>16</v>
      </c>
      <c r="B3" t="s">
        <v>17</v>
      </c>
      <c r="C3" t="s">
        <v>14</v>
      </c>
      <c r="D3" t="s">
        <v>18</v>
      </c>
      <c r="E3">
        <v>45</v>
      </c>
      <c r="F3">
        <v>181</v>
      </c>
      <c r="G3">
        <v>61</v>
      </c>
      <c r="H3">
        <v>18.600000000000001</v>
      </c>
      <c r="I3">
        <v>147</v>
      </c>
      <c r="J3">
        <v>72</v>
      </c>
      <c r="K3">
        <v>75</v>
      </c>
      <c r="L3">
        <v>8.5</v>
      </c>
    </row>
    <row r="4" spans="1:12" x14ac:dyDescent="0.35">
      <c r="A4" t="s">
        <v>12</v>
      </c>
      <c r="B4" t="s">
        <v>13</v>
      </c>
      <c r="C4" t="s">
        <v>19</v>
      </c>
      <c r="D4" t="s">
        <v>15</v>
      </c>
      <c r="E4">
        <v>24</v>
      </c>
      <c r="F4">
        <v>162</v>
      </c>
      <c r="G4">
        <v>82</v>
      </c>
      <c r="H4">
        <v>31.2</v>
      </c>
      <c r="I4">
        <v>142</v>
      </c>
      <c r="J4">
        <v>82</v>
      </c>
      <c r="K4">
        <v>70</v>
      </c>
      <c r="L4">
        <v>9.4</v>
      </c>
    </row>
    <row r="5" spans="1:12" x14ac:dyDescent="0.35">
      <c r="A5" t="s">
        <v>12</v>
      </c>
      <c r="B5" t="s">
        <v>13</v>
      </c>
      <c r="C5" t="s">
        <v>14</v>
      </c>
      <c r="D5" t="s">
        <v>20</v>
      </c>
      <c r="E5">
        <v>53</v>
      </c>
      <c r="F5">
        <v>179</v>
      </c>
      <c r="G5">
        <v>97</v>
      </c>
      <c r="H5">
        <v>30.3</v>
      </c>
      <c r="I5">
        <v>137</v>
      </c>
      <c r="J5">
        <v>84</v>
      </c>
      <c r="K5">
        <v>80</v>
      </c>
      <c r="L5">
        <v>7.6</v>
      </c>
    </row>
    <row r="6" spans="1:12" x14ac:dyDescent="0.35">
      <c r="A6" t="s">
        <v>12</v>
      </c>
      <c r="B6" t="s">
        <v>17</v>
      </c>
      <c r="C6" t="s">
        <v>14</v>
      </c>
      <c r="D6" t="s">
        <v>18</v>
      </c>
      <c r="E6">
        <v>56</v>
      </c>
      <c r="F6">
        <v>158</v>
      </c>
      <c r="G6">
        <v>59</v>
      </c>
      <c r="H6">
        <v>23.6</v>
      </c>
      <c r="I6">
        <v>110</v>
      </c>
      <c r="J6">
        <v>71</v>
      </c>
      <c r="K6">
        <v>63</v>
      </c>
      <c r="L6">
        <v>8.1999999999999993</v>
      </c>
    </row>
    <row r="7" spans="1:12" x14ac:dyDescent="0.35">
      <c r="A7" t="s">
        <v>16</v>
      </c>
      <c r="B7" t="s">
        <v>21</v>
      </c>
      <c r="C7" t="s">
        <v>19</v>
      </c>
      <c r="D7" t="s">
        <v>15</v>
      </c>
      <c r="E7">
        <v>59</v>
      </c>
      <c r="F7">
        <v>187</v>
      </c>
      <c r="G7">
        <v>59</v>
      </c>
      <c r="H7">
        <v>16.899999999999999</v>
      </c>
      <c r="I7">
        <v>117</v>
      </c>
      <c r="J7">
        <v>80</v>
      </c>
      <c r="K7">
        <v>72</v>
      </c>
      <c r="L7">
        <v>8.8000000000000007</v>
      </c>
    </row>
    <row r="8" spans="1:12" x14ac:dyDescent="0.35">
      <c r="A8" t="s">
        <v>12</v>
      </c>
      <c r="B8" t="s">
        <v>22</v>
      </c>
      <c r="C8" t="s">
        <v>23</v>
      </c>
      <c r="D8" t="s">
        <v>20</v>
      </c>
      <c r="E8">
        <v>34</v>
      </c>
      <c r="F8">
        <v>155</v>
      </c>
      <c r="G8">
        <v>84</v>
      </c>
      <c r="H8">
        <v>35</v>
      </c>
      <c r="I8">
        <v>146</v>
      </c>
      <c r="J8">
        <v>73</v>
      </c>
      <c r="K8">
        <v>66</v>
      </c>
      <c r="L8">
        <v>8.1999999999999993</v>
      </c>
    </row>
    <row r="9" spans="1:12" x14ac:dyDescent="0.35">
      <c r="A9" t="s">
        <v>12</v>
      </c>
      <c r="B9" t="s">
        <v>24</v>
      </c>
      <c r="C9" t="s">
        <v>14</v>
      </c>
      <c r="D9" t="s">
        <v>18</v>
      </c>
      <c r="E9">
        <v>46</v>
      </c>
      <c r="F9">
        <v>173</v>
      </c>
      <c r="G9">
        <v>86</v>
      </c>
      <c r="H9">
        <v>28.7</v>
      </c>
      <c r="I9">
        <v>141</v>
      </c>
      <c r="J9">
        <v>88</v>
      </c>
      <c r="K9">
        <v>63</v>
      </c>
      <c r="L9">
        <v>9.1</v>
      </c>
    </row>
    <row r="10" spans="1:12" x14ac:dyDescent="0.35">
      <c r="A10" t="s">
        <v>12</v>
      </c>
      <c r="B10" t="s">
        <v>25</v>
      </c>
      <c r="C10" t="s">
        <v>14</v>
      </c>
      <c r="D10" t="s">
        <v>20</v>
      </c>
      <c r="E10">
        <v>30</v>
      </c>
      <c r="F10">
        <v>185</v>
      </c>
      <c r="G10">
        <v>62</v>
      </c>
      <c r="H10">
        <v>18.100000000000001</v>
      </c>
      <c r="I10">
        <v>146</v>
      </c>
      <c r="J10">
        <v>86</v>
      </c>
      <c r="K10">
        <v>74</v>
      </c>
      <c r="L10">
        <v>8.6999999999999993</v>
      </c>
    </row>
    <row r="11" spans="1:12" x14ac:dyDescent="0.35">
      <c r="A11" t="s">
        <v>16</v>
      </c>
      <c r="B11" t="s">
        <v>24</v>
      </c>
      <c r="C11" t="s">
        <v>14</v>
      </c>
      <c r="D11" t="s">
        <v>26</v>
      </c>
      <c r="E11">
        <v>25</v>
      </c>
      <c r="F11">
        <v>170</v>
      </c>
      <c r="G11">
        <v>64</v>
      </c>
      <c r="H11">
        <v>22.1</v>
      </c>
      <c r="I11">
        <v>113</v>
      </c>
      <c r="J11">
        <v>72</v>
      </c>
      <c r="K11">
        <v>78</v>
      </c>
      <c r="L11">
        <v>8.4</v>
      </c>
    </row>
    <row r="12" spans="1:12" x14ac:dyDescent="0.35">
      <c r="A12" t="s">
        <v>12</v>
      </c>
      <c r="B12" t="s">
        <v>25</v>
      </c>
      <c r="C12" t="s">
        <v>14</v>
      </c>
      <c r="D12" t="s">
        <v>26</v>
      </c>
      <c r="E12">
        <v>35</v>
      </c>
      <c r="F12">
        <v>168</v>
      </c>
      <c r="G12">
        <v>92</v>
      </c>
      <c r="H12">
        <v>32.6</v>
      </c>
      <c r="I12">
        <v>139</v>
      </c>
      <c r="J12">
        <v>87</v>
      </c>
      <c r="K12">
        <v>68</v>
      </c>
      <c r="L12">
        <v>9.9</v>
      </c>
    </row>
    <row r="13" spans="1:12" x14ac:dyDescent="0.35">
      <c r="A13" t="s">
        <v>12</v>
      </c>
      <c r="B13" t="s">
        <v>24</v>
      </c>
      <c r="C13" t="s">
        <v>14</v>
      </c>
      <c r="D13" t="s">
        <v>18</v>
      </c>
      <c r="E13">
        <v>58</v>
      </c>
      <c r="F13">
        <v>159</v>
      </c>
      <c r="G13">
        <v>86</v>
      </c>
      <c r="H13">
        <v>34</v>
      </c>
      <c r="I13">
        <v>115</v>
      </c>
      <c r="J13">
        <v>77</v>
      </c>
      <c r="K13">
        <v>70</v>
      </c>
      <c r="L13">
        <v>9.1</v>
      </c>
    </row>
    <row r="14" spans="1:12" x14ac:dyDescent="0.35">
      <c r="A14" t="s">
        <v>12</v>
      </c>
      <c r="B14" t="s">
        <v>17</v>
      </c>
      <c r="C14" t="s">
        <v>14</v>
      </c>
      <c r="D14" t="s">
        <v>15</v>
      </c>
      <c r="E14">
        <v>55</v>
      </c>
      <c r="F14">
        <v>180</v>
      </c>
      <c r="G14">
        <v>82</v>
      </c>
      <c r="H14">
        <v>25.3</v>
      </c>
      <c r="I14">
        <v>128</v>
      </c>
      <c r="J14">
        <v>91</v>
      </c>
      <c r="K14">
        <v>67</v>
      </c>
      <c r="L14">
        <v>7.8</v>
      </c>
    </row>
    <row r="15" spans="1:12" x14ac:dyDescent="0.35">
      <c r="A15" t="s">
        <v>12</v>
      </c>
      <c r="B15" t="s">
        <v>22</v>
      </c>
      <c r="C15" t="s">
        <v>14</v>
      </c>
      <c r="D15" t="s">
        <v>18</v>
      </c>
      <c r="E15">
        <v>32</v>
      </c>
      <c r="F15">
        <v>182</v>
      </c>
      <c r="G15">
        <v>71</v>
      </c>
      <c r="H15">
        <v>21.4</v>
      </c>
      <c r="I15">
        <v>141</v>
      </c>
      <c r="J15">
        <v>94</v>
      </c>
      <c r="K15">
        <v>60</v>
      </c>
      <c r="L15">
        <v>8.9</v>
      </c>
    </row>
    <row r="16" spans="1:12" x14ac:dyDescent="0.35">
      <c r="A16" t="s">
        <v>16</v>
      </c>
      <c r="B16" t="s">
        <v>25</v>
      </c>
      <c r="C16" t="s">
        <v>14</v>
      </c>
      <c r="D16" t="s">
        <v>20</v>
      </c>
      <c r="E16">
        <v>24</v>
      </c>
      <c r="F16">
        <v>156</v>
      </c>
      <c r="G16">
        <v>85</v>
      </c>
      <c r="H16">
        <v>34.9</v>
      </c>
      <c r="I16">
        <v>118</v>
      </c>
      <c r="J16">
        <v>93</v>
      </c>
      <c r="K16">
        <v>82</v>
      </c>
      <c r="L16">
        <v>9.5</v>
      </c>
    </row>
    <row r="17" spans="1:12" x14ac:dyDescent="0.35">
      <c r="A17" t="s">
        <v>12</v>
      </c>
      <c r="B17" t="s">
        <v>21</v>
      </c>
      <c r="C17" t="s">
        <v>19</v>
      </c>
      <c r="D17" t="s">
        <v>15</v>
      </c>
      <c r="E17">
        <v>49</v>
      </c>
      <c r="F17">
        <v>160</v>
      </c>
      <c r="G17">
        <v>62</v>
      </c>
      <c r="H17">
        <v>24.2</v>
      </c>
      <c r="I17">
        <v>121</v>
      </c>
      <c r="J17">
        <v>88</v>
      </c>
      <c r="K17">
        <v>84</v>
      </c>
      <c r="L17">
        <v>9.3000000000000007</v>
      </c>
    </row>
    <row r="18" spans="1:12" x14ac:dyDescent="0.35">
      <c r="A18" t="s">
        <v>16</v>
      </c>
      <c r="B18" t="s">
        <v>24</v>
      </c>
      <c r="C18" t="s">
        <v>19</v>
      </c>
      <c r="D18" t="s">
        <v>26</v>
      </c>
      <c r="E18">
        <v>50</v>
      </c>
      <c r="F18">
        <v>163</v>
      </c>
      <c r="G18">
        <v>94</v>
      </c>
      <c r="H18">
        <v>35.4</v>
      </c>
      <c r="I18">
        <v>120</v>
      </c>
      <c r="J18">
        <v>74</v>
      </c>
      <c r="K18">
        <v>83</v>
      </c>
      <c r="L18">
        <v>7.9</v>
      </c>
    </row>
    <row r="19" spans="1:12" x14ac:dyDescent="0.35">
      <c r="A19" t="s">
        <v>16</v>
      </c>
      <c r="B19" t="s">
        <v>24</v>
      </c>
      <c r="C19" t="s">
        <v>14</v>
      </c>
      <c r="D19" t="s">
        <v>15</v>
      </c>
      <c r="E19">
        <v>30</v>
      </c>
      <c r="F19">
        <v>187</v>
      </c>
      <c r="G19">
        <v>79</v>
      </c>
      <c r="H19">
        <v>22.6</v>
      </c>
      <c r="I19">
        <v>125</v>
      </c>
      <c r="J19">
        <v>76</v>
      </c>
      <c r="K19">
        <v>67</v>
      </c>
      <c r="L19">
        <v>9.9</v>
      </c>
    </row>
    <row r="20" spans="1:12" x14ac:dyDescent="0.35">
      <c r="A20" t="s">
        <v>16</v>
      </c>
      <c r="B20" t="s">
        <v>25</v>
      </c>
      <c r="C20" t="s">
        <v>14</v>
      </c>
      <c r="D20" t="s">
        <v>26</v>
      </c>
      <c r="E20">
        <v>24</v>
      </c>
      <c r="F20">
        <v>179</v>
      </c>
      <c r="G20">
        <v>63</v>
      </c>
      <c r="H20">
        <v>19.7</v>
      </c>
      <c r="I20">
        <v>110</v>
      </c>
      <c r="J20">
        <v>90</v>
      </c>
      <c r="K20">
        <v>72</v>
      </c>
      <c r="L20">
        <v>8.6</v>
      </c>
    </row>
    <row r="21" spans="1:12" x14ac:dyDescent="0.35">
      <c r="A21" t="s">
        <v>12</v>
      </c>
      <c r="B21" t="s">
        <v>21</v>
      </c>
      <c r="C21" t="s">
        <v>14</v>
      </c>
      <c r="D21" t="s">
        <v>15</v>
      </c>
      <c r="E21">
        <v>46</v>
      </c>
      <c r="F21">
        <v>167</v>
      </c>
      <c r="G21">
        <v>56</v>
      </c>
      <c r="H21">
        <v>20.100000000000001</v>
      </c>
      <c r="I21">
        <v>130</v>
      </c>
      <c r="J21">
        <v>77</v>
      </c>
      <c r="K21">
        <v>81</v>
      </c>
      <c r="L21">
        <v>7.9</v>
      </c>
    </row>
    <row r="22" spans="1:12" x14ac:dyDescent="0.35">
      <c r="A22" t="s">
        <v>16</v>
      </c>
      <c r="B22" t="s">
        <v>21</v>
      </c>
      <c r="C22" t="s">
        <v>23</v>
      </c>
      <c r="D22" t="s">
        <v>15</v>
      </c>
      <c r="E22">
        <v>55</v>
      </c>
      <c r="F22">
        <v>163</v>
      </c>
      <c r="G22">
        <v>69</v>
      </c>
      <c r="H22">
        <v>26</v>
      </c>
      <c r="I22">
        <v>139</v>
      </c>
      <c r="J22">
        <v>74</v>
      </c>
      <c r="K22">
        <v>86</v>
      </c>
      <c r="L22">
        <v>8</v>
      </c>
    </row>
    <row r="23" spans="1:12" x14ac:dyDescent="0.35">
      <c r="A23" t="s">
        <v>12</v>
      </c>
      <c r="B23" t="s">
        <v>17</v>
      </c>
      <c r="C23" t="s">
        <v>14</v>
      </c>
      <c r="D23" t="s">
        <v>15</v>
      </c>
      <c r="E23">
        <v>33</v>
      </c>
      <c r="F23">
        <v>167</v>
      </c>
      <c r="G23">
        <v>57</v>
      </c>
      <c r="H23">
        <v>20.399999999999999</v>
      </c>
      <c r="I23">
        <v>122</v>
      </c>
      <c r="J23">
        <v>86</v>
      </c>
      <c r="K23">
        <v>63</v>
      </c>
      <c r="L23">
        <v>7.7</v>
      </c>
    </row>
    <row r="24" spans="1:12" x14ac:dyDescent="0.35">
      <c r="A24" t="s">
        <v>16</v>
      </c>
      <c r="B24" t="s">
        <v>17</v>
      </c>
      <c r="C24" t="s">
        <v>14</v>
      </c>
      <c r="D24" t="s">
        <v>20</v>
      </c>
      <c r="E24">
        <v>30</v>
      </c>
      <c r="F24">
        <v>185</v>
      </c>
      <c r="G24">
        <v>90</v>
      </c>
      <c r="H24">
        <v>26.3</v>
      </c>
      <c r="I24">
        <v>143</v>
      </c>
      <c r="J24">
        <v>74</v>
      </c>
      <c r="K24">
        <v>67</v>
      </c>
      <c r="L24">
        <v>9.5</v>
      </c>
    </row>
    <row r="25" spans="1:12" x14ac:dyDescent="0.35">
      <c r="A25" t="s">
        <v>16</v>
      </c>
      <c r="B25" t="s">
        <v>17</v>
      </c>
      <c r="C25" t="s">
        <v>19</v>
      </c>
      <c r="D25" t="s">
        <v>20</v>
      </c>
      <c r="E25">
        <v>36</v>
      </c>
      <c r="F25">
        <v>165</v>
      </c>
      <c r="G25">
        <v>58</v>
      </c>
      <c r="H25">
        <v>21.3</v>
      </c>
      <c r="I25">
        <v>113</v>
      </c>
      <c r="J25">
        <v>73</v>
      </c>
      <c r="K25">
        <v>62</v>
      </c>
      <c r="L25">
        <v>7.8</v>
      </c>
    </row>
    <row r="26" spans="1:12" x14ac:dyDescent="0.35">
      <c r="A26" t="s">
        <v>16</v>
      </c>
      <c r="B26" t="s">
        <v>17</v>
      </c>
      <c r="C26" t="s">
        <v>23</v>
      </c>
      <c r="D26" t="s">
        <v>18</v>
      </c>
      <c r="E26">
        <v>46</v>
      </c>
      <c r="F26">
        <v>158</v>
      </c>
      <c r="G26">
        <v>68</v>
      </c>
      <c r="H26">
        <v>27.2</v>
      </c>
      <c r="I26">
        <v>137</v>
      </c>
      <c r="J26">
        <v>91</v>
      </c>
      <c r="K26">
        <v>88</v>
      </c>
      <c r="L26">
        <v>7.8</v>
      </c>
    </row>
    <row r="27" spans="1:12" x14ac:dyDescent="0.35">
      <c r="A27" t="s">
        <v>16</v>
      </c>
      <c r="B27" t="s">
        <v>17</v>
      </c>
      <c r="C27" t="s">
        <v>19</v>
      </c>
      <c r="D27" t="s">
        <v>18</v>
      </c>
      <c r="E27">
        <v>26</v>
      </c>
      <c r="F27">
        <v>188</v>
      </c>
      <c r="G27">
        <v>95</v>
      </c>
      <c r="H27">
        <v>26.9</v>
      </c>
      <c r="I27">
        <v>147</v>
      </c>
      <c r="J27">
        <v>88</v>
      </c>
      <c r="K27">
        <v>68</v>
      </c>
      <c r="L27">
        <v>9.6</v>
      </c>
    </row>
    <row r="28" spans="1:12" x14ac:dyDescent="0.35">
      <c r="A28" t="s">
        <v>16</v>
      </c>
      <c r="B28" t="s">
        <v>17</v>
      </c>
      <c r="C28" t="s">
        <v>23</v>
      </c>
      <c r="D28" t="s">
        <v>26</v>
      </c>
      <c r="E28">
        <v>32</v>
      </c>
      <c r="F28">
        <v>158</v>
      </c>
      <c r="G28">
        <v>95</v>
      </c>
      <c r="H28">
        <v>38.1</v>
      </c>
      <c r="I28">
        <v>140</v>
      </c>
      <c r="J28">
        <v>90</v>
      </c>
      <c r="K28">
        <v>88</v>
      </c>
      <c r="L28">
        <v>8.4</v>
      </c>
    </row>
    <row r="29" spans="1:12" x14ac:dyDescent="0.35">
      <c r="A29" t="s">
        <v>16</v>
      </c>
      <c r="B29" t="s">
        <v>22</v>
      </c>
      <c r="C29" t="s">
        <v>14</v>
      </c>
      <c r="D29" t="s">
        <v>20</v>
      </c>
      <c r="E29">
        <v>55</v>
      </c>
      <c r="F29">
        <v>173</v>
      </c>
      <c r="G29">
        <v>79</v>
      </c>
      <c r="H29">
        <v>26.4</v>
      </c>
      <c r="I29">
        <v>136</v>
      </c>
      <c r="J29">
        <v>71</v>
      </c>
      <c r="K29">
        <v>61</v>
      </c>
      <c r="L29">
        <v>7.6</v>
      </c>
    </row>
    <row r="30" spans="1:12" x14ac:dyDescent="0.35">
      <c r="A30" t="s">
        <v>16</v>
      </c>
      <c r="B30" t="s">
        <v>21</v>
      </c>
      <c r="C30" t="s">
        <v>14</v>
      </c>
      <c r="D30" t="s">
        <v>26</v>
      </c>
      <c r="E30">
        <v>45</v>
      </c>
      <c r="F30">
        <v>160</v>
      </c>
      <c r="G30">
        <v>64</v>
      </c>
      <c r="H30">
        <v>25</v>
      </c>
      <c r="I30">
        <v>114</v>
      </c>
      <c r="J30">
        <v>80</v>
      </c>
      <c r="K30">
        <v>61</v>
      </c>
      <c r="L30">
        <v>7.6</v>
      </c>
    </row>
    <row r="31" spans="1:12" x14ac:dyDescent="0.35">
      <c r="A31" t="s">
        <v>16</v>
      </c>
      <c r="B31" t="s">
        <v>17</v>
      </c>
      <c r="C31" t="s">
        <v>19</v>
      </c>
      <c r="D31" t="s">
        <v>18</v>
      </c>
      <c r="E31">
        <v>36</v>
      </c>
      <c r="F31">
        <v>188</v>
      </c>
      <c r="G31">
        <v>75</v>
      </c>
      <c r="H31">
        <v>21.2</v>
      </c>
      <c r="I31">
        <v>134</v>
      </c>
      <c r="J31">
        <v>91</v>
      </c>
      <c r="K31">
        <v>87</v>
      </c>
      <c r="L31">
        <v>7.9</v>
      </c>
    </row>
    <row r="32" spans="1:12" x14ac:dyDescent="0.35">
      <c r="A32" t="s">
        <v>12</v>
      </c>
      <c r="B32" t="s">
        <v>21</v>
      </c>
      <c r="C32" t="s">
        <v>23</v>
      </c>
      <c r="D32" t="s">
        <v>26</v>
      </c>
      <c r="E32">
        <v>59</v>
      </c>
      <c r="F32">
        <v>172</v>
      </c>
      <c r="G32">
        <v>90</v>
      </c>
      <c r="H32">
        <v>30.4</v>
      </c>
      <c r="I32">
        <v>112</v>
      </c>
      <c r="J32">
        <v>82</v>
      </c>
      <c r="K32">
        <v>72</v>
      </c>
      <c r="L32">
        <v>8</v>
      </c>
    </row>
    <row r="33" spans="1:12" x14ac:dyDescent="0.35">
      <c r="A33" t="s">
        <v>12</v>
      </c>
      <c r="B33" t="s">
        <v>21</v>
      </c>
      <c r="C33" t="s">
        <v>14</v>
      </c>
      <c r="D33" t="s">
        <v>18</v>
      </c>
      <c r="E33">
        <v>29</v>
      </c>
      <c r="F33">
        <v>167</v>
      </c>
      <c r="G33">
        <v>66</v>
      </c>
      <c r="H33">
        <v>23.7</v>
      </c>
      <c r="I33">
        <v>142</v>
      </c>
      <c r="J33">
        <v>84</v>
      </c>
      <c r="K33">
        <v>74</v>
      </c>
      <c r="L33">
        <v>9.1999999999999993</v>
      </c>
    </row>
    <row r="34" spans="1:12" x14ac:dyDescent="0.35">
      <c r="A34" t="s">
        <v>16</v>
      </c>
      <c r="B34" t="s">
        <v>13</v>
      </c>
      <c r="C34" t="s">
        <v>14</v>
      </c>
      <c r="D34" t="s">
        <v>20</v>
      </c>
      <c r="E34">
        <v>26</v>
      </c>
      <c r="F34">
        <v>177</v>
      </c>
      <c r="G34">
        <v>81</v>
      </c>
      <c r="H34">
        <v>25.9</v>
      </c>
      <c r="I34">
        <v>113</v>
      </c>
      <c r="J34">
        <v>81</v>
      </c>
      <c r="K34">
        <v>87</v>
      </c>
      <c r="L34">
        <v>7.9</v>
      </c>
    </row>
    <row r="35" spans="1:12" x14ac:dyDescent="0.35">
      <c r="A35" t="s">
        <v>16</v>
      </c>
      <c r="B35" t="s">
        <v>22</v>
      </c>
      <c r="C35" t="s">
        <v>14</v>
      </c>
      <c r="D35" t="s">
        <v>15</v>
      </c>
      <c r="E35">
        <v>47</v>
      </c>
      <c r="F35">
        <v>173</v>
      </c>
      <c r="G35">
        <v>94</v>
      </c>
      <c r="H35">
        <v>31.4</v>
      </c>
      <c r="I35">
        <v>134</v>
      </c>
      <c r="J35">
        <v>91</v>
      </c>
      <c r="K35">
        <v>82</v>
      </c>
      <c r="L35">
        <v>7.8</v>
      </c>
    </row>
    <row r="36" spans="1:12" x14ac:dyDescent="0.35">
      <c r="A36" t="s">
        <v>16</v>
      </c>
      <c r="B36" t="s">
        <v>17</v>
      </c>
      <c r="C36" t="s">
        <v>23</v>
      </c>
      <c r="D36" t="s">
        <v>20</v>
      </c>
      <c r="E36">
        <v>39</v>
      </c>
      <c r="F36">
        <v>165</v>
      </c>
      <c r="G36">
        <v>56</v>
      </c>
      <c r="H36">
        <v>20.6</v>
      </c>
      <c r="I36">
        <v>129</v>
      </c>
      <c r="J36">
        <v>90</v>
      </c>
      <c r="K36">
        <v>71</v>
      </c>
      <c r="L36">
        <v>9.4</v>
      </c>
    </row>
    <row r="37" spans="1:12" x14ac:dyDescent="0.35">
      <c r="A37" t="s">
        <v>12</v>
      </c>
      <c r="B37" t="s">
        <v>24</v>
      </c>
      <c r="C37" t="s">
        <v>19</v>
      </c>
      <c r="D37" t="s">
        <v>26</v>
      </c>
      <c r="E37">
        <v>27</v>
      </c>
      <c r="F37">
        <v>155</v>
      </c>
      <c r="G37">
        <v>67</v>
      </c>
      <c r="H37">
        <v>27.9</v>
      </c>
      <c r="I37">
        <v>143</v>
      </c>
      <c r="J37">
        <v>91</v>
      </c>
      <c r="K37">
        <v>85</v>
      </c>
      <c r="L37">
        <v>9.1999999999999993</v>
      </c>
    </row>
    <row r="38" spans="1:12" x14ac:dyDescent="0.35">
      <c r="A38" t="s">
        <v>16</v>
      </c>
      <c r="B38" t="s">
        <v>25</v>
      </c>
      <c r="C38" t="s">
        <v>14</v>
      </c>
      <c r="D38" t="s">
        <v>26</v>
      </c>
      <c r="E38">
        <v>58</v>
      </c>
      <c r="F38">
        <v>178</v>
      </c>
      <c r="G38">
        <v>86</v>
      </c>
      <c r="H38">
        <v>27.1</v>
      </c>
      <c r="I38">
        <v>135</v>
      </c>
      <c r="J38">
        <v>80</v>
      </c>
      <c r="K38">
        <v>63</v>
      </c>
      <c r="L38">
        <v>8.6</v>
      </c>
    </row>
    <row r="39" spans="1:12" x14ac:dyDescent="0.35">
      <c r="A39" t="s">
        <v>12</v>
      </c>
      <c r="B39" t="s">
        <v>24</v>
      </c>
      <c r="C39" t="s">
        <v>14</v>
      </c>
      <c r="D39" t="s">
        <v>20</v>
      </c>
      <c r="E39">
        <v>34</v>
      </c>
      <c r="F39">
        <v>161</v>
      </c>
      <c r="G39">
        <v>85</v>
      </c>
      <c r="H39">
        <v>32.799999999999997</v>
      </c>
      <c r="I39">
        <v>114</v>
      </c>
      <c r="J39">
        <v>76</v>
      </c>
      <c r="K39">
        <v>85</v>
      </c>
      <c r="L39">
        <v>8.9</v>
      </c>
    </row>
    <row r="40" spans="1:12" x14ac:dyDescent="0.35">
      <c r="A40" t="s">
        <v>12</v>
      </c>
      <c r="B40" t="s">
        <v>22</v>
      </c>
      <c r="C40" t="s">
        <v>14</v>
      </c>
      <c r="D40" t="s">
        <v>20</v>
      </c>
      <c r="E40">
        <v>49</v>
      </c>
      <c r="F40">
        <v>179</v>
      </c>
      <c r="G40">
        <v>70</v>
      </c>
      <c r="H40">
        <v>21.8</v>
      </c>
      <c r="I40">
        <v>144</v>
      </c>
      <c r="J40">
        <v>74</v>
      </c>
      <c r="K40">
        <v>67</v>
      </c>
      <c r="L40">
        <v>8.3000000000000007</v>
      </c>
    </row>
    <row r="41" spans="1:12" x14ac:dyDescent="0.35">
      <c r="A41" t="s">
        <v>12</v>
      </c>
      <c r="B41" t="s">
        <v>25</v>
      </c>
      <c r="C41" t="s">
        <v>19</v>
      </c>
      <c r="D41" t="s">
        <v>18</v>
      </c>
      <c r="E41">
        <v>26</v>
      </c>
      <c r="F41">
        <v>175</v>
      </c>
      <c r="G41">
        <v>86</v>
      </c>
      <c r="H41">
        <v>28.1</v>
      </c>
      <c r="I41">
        <v>137</v>
      </c>
      <c r="J41">
        <v>86</v>
      </c>
      <c r="K41">
        <v>68</v>
      </c>
      <c r="L41">
        <v>8.6999999999999993</v>
      </c>
    </row>
    <row r="42" spans="1:12" x14ac:dyDescent="0.35">
      <c r="A42" t="s">
        <v>12</v>
      </c>
      <c r="B42" t="s">
        <v>22</v>
      </c>
      <c r="C42" t="s">
        <v>23</v>
      </c>
      <c r="D42" t="s">
        <v>26</v>
      </c>
      <c r="E42">
        <v>34</v>
      </c>
      <c r="F42">
        <v>169</v>
      </c>
      <c r="G42">
        <v>86</v>
      </c>
      <c r="H42">
        <v>30.1</v>
      </c>
      <c r="I42">
        <v>138</v>
      </c>
      <c r="J42">
        <v>93</v>
      </c>
      <c r="K42">
        <v>82</v>
      </c>
      <c r="L42">
        <v>8.8000000000000007</v>
      </c>
    </row>
    <row r="43" spans="1:12" x14ac:dyDescent="0.35">
      <c r="A43" t="s">
        <v>12</v>
      </c>
      <c r="B43" t="s">
        <v>21</v>
      </c>
      <c r="C43" t="s">
        <v>23</v>
      </c>
      <c r="D43" t="s">
        <v>26</v>
      </c>
      <c r="E43">
        <v>38</v>
      </c>
      <c r="F43">
        <v>155</v>
      </c>
      <c r="G43">
        <v>88</v>
      </c>
      <c r="H43">
        <v>36.6</v>
      </c>
      <c r="I43">
        <v>118</v>
      </c>
      <c r="J43">
        <v>89</v>
      </c>
      <c r="K43">
        <v>64</v>
      </c>
      <c r="L43">
        <v>8.5</v>
      </c>
    </row>
    <row r="44" spans="1:12" x14ac:dyDescent="0.35">
      <c r="A44" t="s">
        <v>16</v>
      </c>
      <c r="B44" t="s">
        <v>25</v>
      </c>
      <c r="C44" t="s">
        <v>14</v>
      </c>
      <c r="D44" t="s">
        <v>20</v>
      </c>
      <c r="E44">
        <v>53</v>
      </c>
      <c r="F44">
        <v>166</v>
      </c>
      <c r="G44">
        <v>65</v>
      </c>
      <c r="H44">
        <v>23.6</v>
      </c>
      <c r="I44">
        <v>147</v>
      </c>
      <c r="J44">
        <v>78</v>
      </c>
      <c r="K44">
        <v>83</v>
      </c>
      <c r="L44">
        <v>9.8000000000000007</v>
      </c>
    </row>
    <row r="45" spans="1:12" x14ac:dyDescent="0.35">
      <c r="A45" t="s">
        <v>16</v>
      </c>
      <c r="B45" t="s">
        <v>21</v>
      </c>
      <c r="C45" t="s">
        <v>14</v>
      </c>
      <c r="D45" t="s">
        <v>15</v>
      </c>
      <c r="E45">
        <v>50</v>
      </c>
      <c r="F45">
        <v>161</v>
      </c>
      <c r="G45">
        <v>64</v>
      </c>
      <c r="H45">
        <v>24.7</v>
      </c>
      <c r="I45">
        <v>115</v>
      </c>
      <c r="J45">
        <v>83</v>
      </c>
      <c r="K45">
        <v>79</v>
      </c>
      <c r="L45">
        <v>7.5</v>
      </c>
    </row>
    <row r="46" spans="1:12" x14ac:dyDescent="0.35">
      <c r="A46" t="s">
        <v>16</v>
      </c>
      <c r="B46" t="s">
        <v>24</v>
      </c>
      <c r="C46" t="s">
        <v>14</v>
      </c>
      <c r="D46" t="s">
        <v>26</v>
      </c>
      <c r="E46">
        <v>24</v>
      </c>
      <c r="F46">
        <v>169</v>
      </c>
      <c r="G46">
        <v>69</v>
      </c>
      <c r="H46">
        <v>24.2</v>
      </c>
      <c r="I46">
        <v>128</v>
      </c>
      <c r="J46">
        <v>81</v>
      </c>
      <c r="K46">
        <v>77</v>
      </c>
      <c r="L46">
        <v>9.5</v>
      </c>
    </row>
    <row r="47" spans="1:12" x14ac:dyDescent="0.35">
      <c r="A47" t="s">
        <v>16</v>
      </c>
      <c r="B47" t="s">
        <v>24</v>
      </c>
      <c r="C47" t="s">
        <v>14</v>
      </c>
      <c r="D47" t="s">
        <v>15</v>
      </c>
      <c r="E47">
        <v>55</v>
      </c>
      <c r="F47">
        <v>175</v>
      </c>
      <c r="G47">
        <v>71</v>
      </c>
      <c r="H47">
        <v>23.2</v>
      </c>
      <c r="I47">
        <v>120</v>
      </c>
      <c r="J47">
        <v>75</v>
      </c>
      <c r="K47">
        <v>70</v>
      </c>
      <c r="L47">
        <v>7.8</v>
      </c>
    </row>
    <row r="48" spans="1:12" x14ac:dyDescent="0.35">
      <c r="A48" t="s">
        <v>16</v>
      </c>
      <c r="B48" t="s">
        <v>25</v>
      </c>
      <c r="C48" t="s">
        <v>23</v>
      </c>
      <c r="D48" t="s">
        <v>20</v>
      </c>
      <c r="E48">
        <v>48</v>
      </c>
      <c r="F48">
        <v>173</v>
      </c>
      <c r="G48">
        <v>94</v>
      </c>
      <c r="H48">
        <v>31.4</v>
      </c>
      <c r="I48">
        <v>111</v>
      </c>
      <c r="J48">
        <v>86</v>
      </c>
      <c r="K48">
        <v>74</v>
      </c>
      <c r="L48">
        <v>9.5</v>
      </c>
    </row>
    <row r="49" spans="1:12" x14ac:dyDescent="0.35">
      <c r="A49" t="s">
        <v>12</v>
      </c>
      <c r="B49" t="s">
        <v>25</v>
      </c>
      <c r="C49" t="s">
        <v>23</v>
      </c>
      <c r="D49" t="s">
        <v>20</v>
      </c>
      <c r="E49">
        <v>34</v>
      </c>
      <c r="F49">
        <v>183</v>
      </c>
      <c r="G49">
        <v>72</v>
      </c>
      <c r="H49">
        <v>21.5</v>
      </c>
      <c r="I49">
        <v>118</v>
      </c>
      <c r="J49">
        <v>88</v>
      </c>
      <c r="K49">
        <v>87</v>
      </c>
      <c r="L49">
        <v>9</v>
      </c>
    </row>
    <row r="50" spans="1:12" x14ac:dyDescent="0.35">
      <c r="A50" t="s">
        <v>16</v>
      </c>
      <c r="B50" t="s">
        <v>17</v>
      </c>
      <c r="C50" t="s">
        <v>19</v>
      </c>
      <c r="D50" t="s">
        <v>18</v>
      </c>
      <c r="E50">
        <v>54</v>
      </c>
      <c r="F50">
        <v>179</v>
      </c>
      <c r="G50">
        <v>63</v>
      </c>
      <c r="H50">
        <v>19.7</v>
      </c>
      <c r="I50">
        <v>130</v>
      </c>
      <c r="J50">
        <v>88</v>
      </c>
      <c r="K50">
        <v>81</v>
      </c>
      <c r="L50">
        <v>9.6</v>
      </c>
    </row>
    <row r="51" spans="1:12" x14ac:dyDescent="0.35">
      <c r="A51" t="s">
        <v>16</v>
      </c>
      <c r="B51" t="s">
        <v>22</v>
      </c>
      <c r="C51" t="s">
        <v>19</v>
      </c>
      <c r="D51" t="s">
        <v>26</v>
      </c>
      <c r="E51">
        <v>27</v>
      </c>
      <c r="F51">
        <v>187</v>
      </c>
      <c r="G51">
        <v>79</v>
      </c>
      <c r="H51">
        <v>22.6</v>
      </c>
      <c r="I51">
        <v>133</v>
      </c>
      <c r="J51">
        <v>85</v>
      </c>
      <c r="K51">
        <v>68</v>
      </c>
      <c r="L51">
        <v>7.7</v>
      </c>
    </row>
    <row r="52" spans="1:12" x14ac:dyDescent="0.35">
      <c r="A52" t="s">
        <v>12</v>
      </c>
      <c r="B52" t="s">
        <v>17</v>
      </c>
      <c r="C52" t="s">
        <v>14</v>
      </c>
      <c r="D52" t="s">
        <v>15</v>
      </c>
      <c r="E52">
        <v>45</v>
      </c>
      <c r="F52">
        <v>186</v>
      </c>
      <c r="G52">
        <v>94</v>
      </c>
      <c r="H52">
        <v>27.2</v>
      </c>
      <c r="I52">
        <v>143</v>
      </c>
      <c r="J52">
        <v>81</v>
      </c>
      <c r="K52">
        <v>76</v>
      </c>
      <c r="L52">
        <v>8.9</v>
      </c>
    </row>
    <row r="53" spans="1:12" x14ac:dyDescent="0.35">
      <c r="A53" t="s">
        <v>16</v>
      </c>
      <c r="B53" t="s">
        <v>22</v>
      </c>
      <c r="C53" t="s">
        <v>23</v>
      </c>
      <c r="D53" t="s">
        <v>18</v>
      </c>
      <c r="E53">
        <v>40</v>
      </c>
      <c r="F53">
        <v>189</v>
      </c>
      <c r="G53">
        <v>68</v>
      </c>
      <c r="H53">
        <v>19</v>
      </c>
      <c r="I53">
        <v>131</v>
      </c>
      <c r="J53">
        <v>81</v>
      </c>
      <c r="K53">
        <v>86</v>
      </c>
      <c r="L53">
        <v>8.8000000000000007</v>
      </c>
    </row>
    <row r="54" spans="1:12" x14ac:dyDescent="0.35">
      <c r="A54" t="s">
        <v>12</v>
      </c>
      <c r="B54" t="s">
        <v>17</v>
      </c>
      <c r="C54" t="s">
        <v>19</v>
      </c>
      <c r="D54" t="s">
        <v>26</v>
      </c>
      <c r="E54">
        <v>37</v>
      </c>
      <c r="F54">
        <v>180</v>
      </c>
      <c r="G54">
        <v>79</v>
      </c>
      <c r="H54">
        <v>24.4</v>
      </c>
      <c r="I54">
        <v>112</v>
      </c>
      <c r="J54">
        <v>89</v>
      </c>
      <c r="K54">
        <v>85</v>
      </c>
      <c r="L54">
        <v>9.3000000000000007</v>
      </c>
    </row>
    <row r="55" spans="1:12" x14ac:dyDescent="0.35">
      <c r="A55" t="s">
        <v>16</v>
      </c>
      <c r="B55" t="s">
        <v>21</v>
      </c>
      <c r="C55" t="s">
        <v>23</v>
      </c>
      <c r="D55" t="s">
        <v>18</v>
      </c>
      <c r="E55">
        <v>49</v>
      </c>
      <c r="F55">
        <v>165</v>
      </c>
      <c r="G55">
        <v>76</v>
      </c>
      <c r="H55">
        <v>27.9</v>
      </c>
      <c r="I55">
        <v>121</v>
      </c>
      <c r="J55">
        <v>75</v>
      </c>
      <c r="K55">
        <v>71</v>
      </c>
      <c r="L55">
        <v>8.8000000000000007</v>
      </c>
    </row>
    <row r="56" spans="1:12" x14ac:dyDescent="0.35">
      <c r="A56" t="s">
        <v>12</v>
      </c>
      <c r="B56" t="s">
        <v>25</v>
      </c>
      <c r="C56" t="s">
        <v>14</v>
      </c>
      <c r="D56" t="s">
        <v>20</v>
      </c>
      <c r="E56">
        <v>54</v>
      </c>
      <c r="F56">
        <v>189</v>
      </c>
      <c r="G56">
        <v>84</v>
      </c>
      <c r="H56">
        <v>23.5</v>
      </c>
      <c r="I56">
        <v>137</v>
      </c>
      <c r="J56">
        <v>92</v>
      </c>
      <c r="K56">
        <v>66</v>
      </c>
      <c r="L56">
        <v>8.9</v>
      </c>
    </row>
    <row r="57" spans="1:12" x14ac:dyDescent="0.35">
      <c r="A57" t="s">
        <v>16</v>
      </c>
      <c r="B57" t="s">
        <v>24</v>
      </c>
      <c r="C57" t="s">
        <v>14</v>
      </c>
      <c r="D57" t="s">
        <v>26</v>
      </c>
      <c r="E57">
        <v>34</v>
      </c>
      <c r="F57">
        <v>162</v>
      </c>
      <c r="G57">
        <v>74</v>
      </c>
      <c r="H57">
        <v>28.2</v>
      </c>
      <c r="I57">
        <v>139</v>
      </c>
      <c r="J57">
        <v>73</v>
      </c>
      <c r="K57">
        <v>69</v>
      </c>
      <c r="L57">
        <v>8.6</v>
      </c>
    </row>
    <row r="58" spans="1:12" x14ac:dyDescent="0.35">
      <c r="A58" t="s">
        <v>16</v>
      </c>
      <c r="B58" t="s">
        <v>22</v>
      </c>
      <c r="C58" t="s">
        <v>14</v>
      </c>
      <c r="D58" t="s">
        <v>18</v>
      </c>
      <c r="E58">
        <v>46</v>
      </c>
      <c r="F58">
        <v>168</v>
      </c>
      <c r="G58">
        <v>75</v>
      </c>
      <c r="H58">
        <v>26.6</v>
      </c>
      <c r="I58">
        <v>135</v>
      </c>
      <c r="J58">
        <v>75</v>
      </c>
      <c r="K58">
        <v>84</v>
      </c>
      <c r="L58">
        <v>8.3000000000000007</v>
      </c>
    </row>
    <row r="59" spans="1:12" x14ac:dyDescent="0.35">
      <c r="A59" t="s">
        <v>12</v>
      </c>
      <c r="B59" t="s">
        <v>22</v>
      </c>
      <c r="C59" t="s">
        <v>19</v>
      </c>
      <c r="D59" t="s">
        <v>18</v>
      </c>
      <c r="E59">
        <v>57</v>
      </c>
      <c r="F59">
        <v>164</v>
      </c>
      <c r="G59">
        <v>98</v>
      </c>
      <c r="H59">
        <v>36.4</v>
      </c>
      <c r="I59">
        <v>130</v>
      </c>
      <c r="J59">
        <v>80</v>
      </c>
      <c r="K59">
        <v>85</v>
      </c>
      <c r="L59">
        <v>8.6999999999999993</v>
      </c>
    </row>
    <row r="60" spans="1:12" x14ac:dyDescent="0.35">
      <c r="A60" t="s">
        <v>12</v>
      </c>
      <c r="B60" t="s">
        <v>24</v>
      </c>
      <c r="C60" t="s">
        <v>14</v>
      </c>
      <c r="D60" t="s">
        <v>15</v>
      </c>
      <c r="E60">
        <v>48</v>
      </c>
      <c r="F60">
        <v>156</v>
      </c>
      <c r="G60">
        <v>86</v>
      </c>
      <c r="H60">
        <v>35.299999999999997</v>
      </c>
      <c r="I60">
        <v>137</v>
      </c>
      <c r="J60">
        <v>70</v>
      </c>
      <c r="K60">
        <v>84</v>
      </c>
      <c r="L60">
        <v>7.8</v>
      </c>
    </row>
    <row r="61" spans="1:12" x14ac:dyDescent="0.35">
      <c r="A61" t="s">
        <v>12</v>
      </c>
      <c r="B61" t="s">
        <v>17</v>
      </c>
      <c r="C61" t="s">
        <v>14</v>
      </c>
      <c r="D61" t="s">
        <v>18</v>
      </c>
      <c r="E61">
        <v>59</v>
      </c>
      <c r="F61">
        <v>163</v>
      </c>
      <c r="G61">
        <v>75</v>
      </c>
      <c r="H61">
        <v>28.2</v>
      </c>
      <c r="I61">
        <v>135</v>
      </c>
      <c r="J61">
        <v>93</v>
      </c>
      <c r="K61">
        <v>69</v>
      </c>
      <c r="L61">
        <v>9.9</v>
      </c>
    </row>
    <row r="62" spans="1:12" x14ac:dyDescent="0.35">
      <c r="A62" t="s">
        <v>12</v>
      </c>
      <c r="B62" t="s">
        <v>22</v>
      </c>
      <c r="C62" t="s">
        <v>14</v>
      </c>
      <c r="D62" t="s">
        <v>26</v>
      </c>
      <c r="E62">
        <v>28</v>
      </c>
      <c r="F62">
        <v>157</v>
      </c>
      <c r="G62">
        <v>89</v>
      </c>
      <c r="H62">
        <v>36.1</v>
      </c>
      <c r="I62">
        <v>142</v>
      </c>
      <c r="J62">
        <v>92</v>
      </c>
      <c r="K62">
        <v>86</v>
      </c>
      <c r="L62">
        <v>9.3000000000000007</v>
      </c>
    </row>
    <row r="63" spans="1:12" x14ac:dyDescent="0.35">
      <c r="A63" t="s">
        <v>12</v>
      </c>
      <c r="B63" t="s">
        <v>21</v>
      </c>
      <c r="C63" t="s">
        <v>14</v>
      </c>
      <c r="D63" t="s">
        <v>26</v>
      </c>
      <c r="E63">
        <v>26</v>
      </c>
      <c r="F63">
        <v>175</v>
      </c>
      <c r="G63">
        <v>86</v>
      </c>
      <c r="H63">
        <v>28.1</v>
      </c>
      <c r="I63">
        <v>130</v>
      </c>
      <c r="J63">
        <v>84</v>
      </c>
      <c r="K63">
        <v>72</v>
      </c>
      <c r="L63">
        <v>9.9</v>
      </c>
    </row>
    <row r="64" spans="1:12" x14ac:dyDescent="0.35">
      <c r="A64" t="s">
        <v>12</v>
      </c>
      <c r="B64" t="s">
        <v>25</v>
      </c>
      <c r="C64" t="s">
        <v>14</v>
      </c>
      <c r="D64" t="s">
        <v>15</v>
      </c>
      <c r="E64">
        <v>52</v>
      </c>
      <c r="F64">
        <v>180</v>
      </c>
      <c r="G64">
        <v>84</v>
      </c>
      <c r="H64">
        <v>25.9</v>
      </c>
      <c r="I64">
        <v>144</v>
      </c>
      <c r="J64">
        <v>80</v>
      </c>
      <c r="K64">
        <v>78</v>
      </c>
      <c r="L64">
        <v>8.1</v>
      </c>
    </row>
    <row r="65" spans="1:12" x14ac:dyDescent="0.35">
      <c r="A65" t="s">
        <v>12</v>
      </c>
      <c r="B65" t="s">
        <v>24</v>
      </c>
      <c r="C65" t="s">
        <v>14</v>
      </c>
      <c r="D65" t="s">
        <v>26</v>
      </c>
      <c r="E65">
        <v>44</v>
      </c>
      <c r="F65">
        <v>162</v>
      </c>
      <c r="G65">
        <v>93</v>
      </c>
      <c r="H65">
        <v>35.4</v>
      </c>
      <c r="I65">
        <v>143</v>
      </c>
      <c r="J65">
        <v>94</v>
      </c>
      <c r="K65">
        <v>70</v>
      </c>
      <c r="L65">
        <v>9.6999999999999993</v>
      </c>
    </row>
    <row r="66" spans="1:12" x14ac:dyDescent="0.35">
      <c r="A66" t="s">
        <v>12</v>
      </c>
      <c r="B66" t="s">
        <v>25</v>
      </c>
      <c r="C66" t="s">
        <v>14</v>
      </c>
      <c r="D66" t="s">
        <v>20</v>
      </c>
      <c r="E66">
        <v>31</v>
      </c>
      <c r="F66">
        <v>156</v>
      </c>
      <c r="G66">
        <v>66</v>
      </c>
      <c r="H66">
        <v>27.1</v>
      </c>
      <c r="I66">
        <v>127</v>
      </c>
      <c r="J66">
        <v>88</v>
      </c>
      <c r="K66">
        <v>72</v>
      </c>
      <c r="L66">
        <v>9.5</v>
      </c>
    </row>
    <row r="67" spans="1:12" x14ac:dyDescent="0.35">
      <c r="A67" t="s">
        <v>16</v>
      </c>
      <c r="B67" t="s">
        <v>22</v>
      </c>
      <c r="C67" t="s">
        <v>14</v>
      </c>
      <c r="D67" t="s">
        <v>26</v>
      </c>
      <c r="E67">
        <v>53</v>
      </c>
      <c r="F67">
        <v>160</v>
      </c>
      <c r="G67">
        <v>95</v>
      </c>
      <c r="H67">
        <v>37.1</v>
      </c>
      <c r="I67">
        <v>120</v>
      </c>
      <c r="J67">
        <v>87</v>
      </c>
      <c r="K67">
        <v>80</v>
      </c>
      <c r="L67">
        <v>9.1999999999999993</v>
      </c>
    </row>
    <row r="68" spans="1:12" x14ac:dyDescent="0.35">
      <c r="A68" t="s">
        <v>16</v>
      </c>
      <c r="B68" t="s">
        <v>22</v>
      </c>
      <c r="C68" t="s">
        <v>23</v>
      </c>
      <c r="D68" t="s">
        <v>26</v>
      </c>
      <c r="E68">
        <v>51</v>
      </c>
      <c r="F68">
        <v>182</v>
      </c>
      <c r="G68">
        <v>72</v>
      </c>
      <c r="H68">
        <v>21.7</v>
      </c>
      <c r="I68">
        <v>132</v>
      </c>
      <c r="J68">
        <v>86</v>
      </c>
      <c r="K68">
        <v>67</v>
      </c>
      <c r="L68">
        <v>9.1</v>
      </c>
    </row>
    <row r="69" spans="1:12" x14ac:dyDescent="0.35">
      <c r="A69" t="s">
        <v>12</v>
      </c>
      <c r="B69" t="s">
        <v>24</v>
      </c>
      <c r="C69" t="s">
        <v>14</v>
      </c>
      <c r="D69" t="s">
        <v>18</v>
      </c>
      <c r="E69">
        <v>52</v>
      </c>
      <c r="F69">
        <v>183</v>
      </c>
      <c r="G69">
        <v>75</v>
      </c>
      <c r="H69">
        <v>22.4</v>
      </c>
      <c r="I69">
        <v>131</v>
      </c>
      <c r="J69">
        <v>88</v>
      </c>
      <c r="K69">
        <v>67</v>
      </c>
      <c r="L69">
        <v>8.3000000000000007</v>
      </c>
    </row>
    <row r="70" spans="1:12" x14ac:dyDescent="0.35">
      <c r="A70" t="s">
        <v>16</v>
      </c>
      <c r="B70" t="s">
        <v>21</v>
      </c>
      <c r="C70" t="s">
        <v>23</v>
      </c>
      <c r="D70" t="s">
        <v>18</v>
      </c>
      <c r="E70">
        <v>39</v>
      </c>
      <c r="F70">
        <v>180</v>
      </c>
      <c r="G70">
        <v>67</v>
      </c>
      <c r="H70">
        <v>20.7</v>
      </c>
      <c r="I70">
        <v>126</v>
      </c>
      <c r="J70">
        <v>90</v>
      </c>
      <c r="K70">
        <v>63</v>
      </c>
      <c r="L70">
        <v>9.5</v>
      </c>
    </row>
    <row r="71" spans="1:12" x14ac:dyDescent="0.35">
      <c r="A71" t="s">
        <v>16</v>
      </c>
      <c r="B71" t="s">
        <v>13</v>
      </c>
      <c r="C71" t="s">
        <v>14</v>
      </c>
      <c r="D71" t="s">
        <v>26</v>
      </c>
      <c r="E71">
        <v>57</v>
      </c>
      <c r="F71">
        <v>179</v>
      </c>
      <c r="G71">
        <v>75</v>
      </c>
      <c r="H71">
        <v>23.4</v>
      </c>
      <c r="I71">
        <v>114</v>
      </c>
      <c r="J71">
        <v>83</v>
      </c>
      <c r="K71">
        <v>74</v>
      </c>
      <c r="L71">
        <v>8.8000000000000007</v>
      </c>
    </row>
    <row r="72" spans="1:12" x14ac:dyDescent="0.35">
      <c r="A72" t="s">
        <v>16</v>
      </c>
      <c r="B72" t="s">
        <v>24</v>
      </c>
      <c r="C72" t="s">
        <v>14</v>
      </c>
      <c r="D72" t="s">
        <v>15</v>
      </c>
      <c r="E72">
        <v>23</v>
      </c>
      <c r="F72">
        <v>166</v>
      </c>
      <c r="G72">
        <v>62</v>
      </c>
      <c r="H72">
        <v>22.5</v>
      </c>
      <c r="I72">
        <v>120</v>
      </c>
      <c r="J72">
        <v>87</v>
      </c>
      <c r="K72">
        <v>87</v>
      </c>
      <c r="L72">
        <v>7.7</v>
      </c>
    </row>
    <row r="73" spans="1:12" x14ac:dyDescent="0.35">
      <c r="A73" t="s">
        <v>16</v>
      </c>
      <c r="B73" t="s">
        <v>13</v>
      </c>
      <c r="C73" t="s">
        <v>23</v>
      </c>
      <c r="D73" t="s">
        <v>18</v>
      </c>
      <c r="E73">
        <v>35</v>
      </c>
      <c r="F73">
        <v>159</v>
      </c>
      <c r="G73">
        <v>94</v>
      </c>
      <c r="H73">
        <v>37.200000000000003</v>
      </c>
      <c r="I73">
        <v>139</v>
      </c>
      <c r="J73">
        <v>88</v>
      </c>
      <c r="K73">
        <v>70</v>
      </c>
      <c r="L73">
        <v>8.3000000000000007</v>
      </c>
    </row>
    <row r="74" spans="1:12" x14ac:dyDescent="0.35">
      <c r="A74" t="s">
        <v>12</v>
      </c>
      <c r="B74" t="s">
        <v>17</v>
      </c>
      <c r="C74" t="s">
        <v>14</v>
      </c>
      <c r="D74" t="s">
        <v>15</v>
      </c>
      <c r="E74">
        <v>34</v>
      </c>
      <c r="F74">
        <v>188</v>
      </c>
      <c r="G74">
        <v>61</v>
      </c>
      <c r="H74">
        <v>17.3</v>
      </c>
      <c r="I74">
        <v>124</v>
      </c>
      <c r="J74">
        <v>84</v>
      </c>
      <c r="K74">
        <v>70</v>
      </c>
      <c r="L74">
        <v>9.8000000000000007</v>
      </c>
    </row>
    <row r="75" spans="1:12" x14ac:dyDescent="0.35">
      <c r="A75" t="s">
        <v>16</v>
      </c>
      <c r="B75" t="s">
        <v>13</v>
      </c>
      <c r="C75" t="s">
        <v>14</v>
      </c>
      <c r="D75" t="s">
        <v>26</v>
      </c>
      <c r="E75">
        <v>50</v>
      </c>
      <c r="F75">
        <v>169</v>
      </c>
      <c r="G75">
        <v>77</v>
      </c>
      <c r="H75">
        <v>27</v>
      </c>
      <c r="I75">
        <v>136</v>
      </c>
      <c r="J75">
        <v>84</v>
      </c>
      <c r="K75">
        <v>60</v>
      </c>
      <c r="L75">
        <v>9.6</v>
      </c>
    </row>
    <row r="76" spans="1:12" x14ac:dyDescent="0.35">
      <c r="A76" t="s">
        <v>12</v>
      </c>
      <c r="B76" t="s">
        <v>21</v>
      </c>
      <c r="C76" t="s">
        <v>14</v>
      </c>
      <c r="D76" t="s">
        <v>26</v>
      </c>
      <c r="E76">
        <v>33</v>
      </c>
      <c r="F76">
        <v>169</v>
      </c>
      <c r="G76">
        <v>98</v>
      </c>
      <c r="H76">
        <v>34.299999999999997</v>
      </c>
      <c r="I76">
        <v>144</v>
      </c>
      <c r="J76">
        <v>73</v>
      </c>
      <c r="K76">
        <v>76</v>
      </c>
      <c r="L76">
        <v>10</v>
      </c>
    </row>
    <row r="77" spans="1:12" x14ac:dyDescent="0.35">
      <c r="A77" t="s">
        <v>16</v>
      </c>
      <c r="B77" t="s">
        <v>17</v>
      </c>
      <c r="C77" t="s">
        <v>23</v>
      </c>
      <c r="D77" t="s">
        <v>20</v>
      </c>
      <c r="E77">
        <v>23</v>
      </c>
      <c r="F77">
        <v>177</v>
      </c>
      <c r="G77">
        <v>86</v>
      </c>
      <c r="H77">
        <v>27.5</v>
      </c>
      <c r="I77">
        <v>142</v>
      </c>
      <c r="J77">
        <v>76</v>
      </c>
      <c r="K77">
        <v>74</v>
      </c>
      <c r="L77">
        <v>9.1</v>
      </c>
    </row>
    <row r="78" spans="1:12" x14ac:dyDescent="0.35">
      <c r="A78" t="s">
        <v>16</v>
      </c>
      <c r="B78" t="s">
        <v>13</v>
      </c>
      <c r="C78" t="s">
        <v>14</v>
      </c>
      <c r="D78" t="s">
        <v>18</v>
      </c>
      <c r="E78">
        <v>53</v>
      </c>
      <c r="F78">
        <v>160</v>
      </c>
      <c r="G78">
        <v>65</v>
      </c>
      <c r="H78">
        <v>25.4</v>
      </c>
      <c r="I78">
        <v>129</v>
      </c>
      <c r="J78">
        <v>82</v>
      </c>
      <c r="K78">
        <v>79</v>
      </c>
      <c r="L78">
        <v>8.1</v>
      </c>
    </row>
    <row r="79" spans="1:12" x14ac:dyDescent="0.35">
      <c r="A79" t="s">
        <v>16</v>
      </c>
      <c r="B79" t="s">
        <v>17</v>
      </c>
      <c r="C79" t="s">
        <v>23</v>
      </c>
      <c r="D79" t="s">
        <v>26</v>
      </c>
      <c r="E79">
        <v>34</v>
      </c>
      <c r="F79">
        <v>175</v>
      </c>
      <c r="G79">
        <v>76</v>
      </c>
      <c r="H79">
        <v>24.8</v>
      </c>
      <c r="I79">
        <v>125</v>
      </c>
      <c r="J79">
        <v>72</v>
      </c>
      <c r="K79">
        <v>65</v>
      </c>
      <c r="L79">
        <v>7.9</v>
      </c>
    </row>
    <row r="80" spans="1:12" x14ac:dyDescent="0.35">
      <c r="A80" t="s">
        <v>12</v>
      </c>
      <c r="B80" t="s">
        <v>13</v>
      </c>
      <c r="C80" t="s">
        <v>14</v>
      </c>
      <c r="D80" t="s">
        <v>20</v>
      </c>
      <c r="E80">
        <v>48</v>
      </c>
      <c r="F80">
        <v>177</v>
      </c>
      <c r="G80">
        <v>76</v>
      </c>
      <c r="H80">
        <v>24.3</v>
      </c>
      <c r="I80">
        <v>143</v>
      </c>
      <c r="J80">
        <v>85</v>
      </c>
      <c r="K80">
        <v>83</v>
      </c>
      <c r="L80">
        <v>8</v>
      </c>
    </row>
    <row r="81" spans="1:12" x14ac:dyDescent="0.35">
      <c r="A81" t="s">
        <v>16</v>
      </c>
      <c r="B81" t="s">
        <v>21</v>
      </c>
      <c r="C81" t="s">
        <v>14</v>
      </c>
      <c r="D81" t="s">
        <v>18</v>
      </c>
      <c r="E81">
        <v>38</v>
      </c>
      <c r="F81">
        <v>170</v>
      </c>
      <c r="G81">
        <v>97</v>
      </c>
      <c r="H81">
        <v>33.6</v>
      </c>
      <c r="I81">
        <v>111</v>
      </c>
      <c r="J81">
        <v>78</v>
      </c>
      <c r="K81">
        <v>81</v>
      </c>
      <c r="L81">
        <v>7.5</v>
      </c>
    </row>
    <row r="82" spans="1:12" x14ac:dyDescent="0.35">
      <c r="A82" t="s">
        <v>12</v>
      </c>
      <c r="B82" t="s">
        <v>13</v>
      </c>
      <c r="C82" t="s">
        <v>14</v>
      </c>
      <c r="D82" t="s">
        <v>26</v>
      </c>
      <c r="E82">
        <v>52</v>
      </c>
      <c r="F82">
        <v>169</v>
      </c>
      <c r="G82">
        <v>79</v>
      </c>
      <c r="H82">
        <v>27.7</v>
      </c>
      <c r="I82">
        <v>144</v>
      </c>
      <c r="J82">
        <v>77</v>
      </c>
      <c r="K82">
        <v>87</v>
      </c>
      <c r="L82">
        <v>8.5</v>
      </c>
    </row>
    <row r="83" spans="1:12" x14ac:dyDescent="0.35">
      <c r="A83" t="s">
        <v>16</v>
      </c>
      <c r="B83" t="s">
        <v>13</v>
      </c>
      <c r="C83" t="s">
        <v>14</v>
      </c>
      <c r="D83" t="s">
        <v>26</v>
      </c>
      <c r="E83">
        <v>55</v>
      </c>
      <c r="F83">
        <v>179</v>
      </c>
      <c r="G83">
        <v>76</v>
      </c>
      <c r="H83">
        <v>23.7</v>
      </c>
      <c r="I83">
        <v>149</v>
      </c>
      <c r="J83">
        <v>89</v>
      </c>
      <c r="K83">
        <v>84</v>
      </c>
      <c r="L83">
        <v>8</v>
      </c>
    </row>
    <row r="84" spans="1:12" x14ac:dyDescent="0.35">
      <c r="A84" t="s">
        <v>12</v>
      </c>
      <c r="B84" t="s">
        <v>13</v>
      </c>
      <c r="C84" t="s">
        <v>14</v>
      </c>
      <c r="D84" t="s">
        <v>18</v>
      </c>
      <c r="E84">
        <v>45</v>
      </c>
      <c r="F84">
        <v>165</v>
      </c>
      <c r="G84">
        <v>82</v>
      </c>
      <c r="H84">
        <v>30.1</v>
      </c>
      <c r="I84">
        <v>137</v>
      </c>
      <c r="J84">
        <v>82</v>
      </c>
      <c r="K84">
        <v>74</v>
      </c>
      <c r="L84">
        <v>8.5</v>
      </c>
    </row>
    <row r="85" spans="1:12" x14ac:dyDescent="0.35">
      <c r="A85" t="s">
        <v>16</v>
      </c>
      <c r="B85" t="s">
        <v>24</v>
      </c>
      <c r="C85" t="s">
        <v>14</v>
      </c>
      <c r="D85" t="s">
        <v>18</v>
      </c>
      <c r="E85">
        <v>56</v>
      </c>
      <c r="F85">
        <v>169</v>
      </c>
      <c r="G85">
        <v>83</v>
      </c>
      <c r="H85">
        <v>29.1</v>
      </c>
      <c r="I85">
        <v>148</v>
      </c>
      <c r="J85">
        <v>86</v>
      </c>
      <c r="K85">
        <v>68</v>
      </c>
      <c r="L85">
        <v>9.8000000000000007</v>
      </c>
    </row>
    <row r="86" spans="1:12" x14ac:dyDescent="0.35">
      <c r="A86" t="s">
        <v>12</v>
      </c>
      <c r="B86" t="s">
        <v>24</v>
      </c>
      <c r="C86" t="s">
        <v>14</v>
      </c>
      <c r="D86" t="s">
        <v>18</v>
      </c>
      <c r="E86">
        <v>27</v>
      </c>
      <c r="F86">
        <v>158</v>
      </c>
      <c r="G86">
        <v>67</v>
      </c>
      <c r="H86">
        <v>26.8</v>
      </c>
      <c r="I86">
        <v>115</v>
      </c>
      <c r="J86">
        <v>86</v>
      </c>
      <c r="K86">
        <v>73</v>
      </c>
      <c r="L86">
        <v>8.6</v>
      </c>
    </row>
    <row r="87" spans="1:12" x14ac:dyDescent="0.35">
      <c r="A87" t="s">
        <v>12</v>
      </c>
      <c r="B87" t="s">
        <v>24</v>
      </c>
      <c r="C87" t="s">
        <v>19</v>
      </c>
      <c r="D87" t="s">
        <v>26</v>
      </c>
      <c r="E87">
        <v>40</v>
      </c>
      <c r="F87">
        <v>175</v>
      </c>
      <c r="G87">
        <v>72</v>
      </c>
      <c r="H87">
        <v>23.5</v>
      </c>
      <c r="I87">
        <v>118</v>
      </c>
      <c r="J87">
        <v>86</v>
      </c>
      <c r="K87">
        <v>77</v>
      </c>
      <c r="L87">
        <v>9.6999999999999993</v>
      </c>
    </row>
    <row r="88" spans="1:12" x14ac:dyDescent="0.35">
      <c r="A88" t="s">
        <v>16</v>
      </c>
      <c r="B88" t="s">
        <v>21</v>
      </c>
      <c r="C88" t="s">
        <v>14</v>
      </c>
      <c r="D88" t="s">
        <v>26</v>
      </c>
      <c r="E88">
        <v>51</v>
      </c>
      <c r="F88">
        <v>167</v>
      </c>
      <c r="G88">
        <v>56</v>
      </c>
      <c r="H88">
        <v>20.100000000000001</v>
      </c>
      <c r="I88">
        <v>129</v>
      </c>
      <c r="J88">
        <v>70</v>
      </c>
      <c r="K88">
        <v>85</v>
      </c>
      <c r="L88">
        <v>9</v>
      </c>
    </row>
    <row r="89" spans="1:12" x14ac:dyDescent="0.35">
      <c r="A89" t="s">
        <v>12</v>
      </c>
      <c r="B89" t="s">
        <v>17</v>
      </c>
      <c r="C89" t="s">
        <v>14</v>
      </c>
      <c r="D89" t="s">
        <v>20</v>
      </c>
      <c r="E89">
        <v>28</v>
      </c>
      <c r="F89">
        <v>176</v>
      </c>
      <c r="G89">
        <v>83</v>
      </c>
      <c r="H89">
        <v>26.8</v>
      </c>
      <c r="I89">
        <v>110</v>
      </c>
      <c r="J89">
        <v>77</v>
      </c>
      <c r="K89">
        <v>76</v>
      </c>
      <c r="L89">
        <v>8.1</v>
      </c>
    </row>
    <row r="90" spans="1:12" x14ac:dyDescent="0.35">
      <c r="A90" t="s">
        <v>16</v>
      </c>
      <c r="B90" t="s">
        <v>22</v>
      </c>
      <c r="C90" t="s">
        <v>23</v>
      </c>
      <c r="D90" t="s">
        <v>15</v>
      </c>
      <c r="E90">
        <v>31</v>
      </c>
      <c r="F90">
        <v>173</v>
      </c>
      <c r="G90">
        <v>75</v>
      </c>
      <c r="H90">
        <v>25.1</v>
      </c>
      <c r="I90">
        <v>117</v>
      </c>
      <c r="J90">
        <v>88</v>
      </c>
      <c r="K90">
        <v>77</v>
      </c>
      <c r="L90">
        <v>8.4</v>
      </c>
    </row>
    <row r="91" spans="1:12" x14ac:dyDescent="0.35">
      <c r="A91" t="s">
        <v>16</v>
      </c>
      <c r="B91" t="s">
        <v>13</v>
      </c>
      <c r="C91" t="s">
        <v>14</v>
      </c>
      <c r="D91" t="s">
        <v>18</v>
      </c>
      <c r="E91">
        <v>53</v>
      </c>
      <c r="F91">
        <v>188</v>
      </c>
      <c r="G91">
        <v>69</v>
      </c>
      <c r="H91">
        <v>19.5</v>
      </c>
      <c r="I91">
        <v>132</v>
      </c>
      <c r="J91">
        <v>75</v>
      </c>
      <c r="K91">
        <v>64</v>
      </c>
      <c r="L91">
        <v>7.7</v>
      </c>
    </row>
    <row r="92" spans="1:12" x14ac:dyDescent="0.35">
      <c r="A92" t="s">
        <v>16</v>
      </c>
      <c r="B92" t="s">
        <v>13</v>
      </c>
      <c r="C92" t="s">
        <v>14</v>
      </c>
      <c r="D92" t="s">
        <v>26</v>
      </c>
      <c r="E92">
        <v>55</v>
      </c>
      <c r="F92">
        <v>168</v>
      </c>
      <c r="G92">
        <v>81</v>
      </c>
      <c r="H92">
        <v>28.7</v>
      </c>
      <c r="I92">
        <v>112</v>
      </c>
      <c r="J92">
        <v>72</v>
      </c>
      <c r="K92">
        <v>79</v>
      </c>
      <c r="L92">
        <v>8.3000000000000007</v>
      </c>
    </row>
    <row r="93" spans="1:12" x14ac:dyDescent="0.35">
      <c r="A93" t="s">
        <v>16</v>
      </c>
      <c r="B93" t="s">
        <v>21</v>
      </c>
      <c r="C93" t="s">
        <v>23</v>
      </c>
      <c r="D93" t="s">
        <v>26</v>
      </c>
      <c r="E93">
        <v>49</v>
      </c>
      <c r="F93">
        <v>158</v>
      </c>
      <c r="G93">
        <v>85</v>
      </c>
      <c r="H93">
        <v>34</v>
      </c>
      <c r="I93">
        <v>113</v>
      </c>
      <c r="J93">
        <v>74</v>
      </c>
      <c r="K93">
        <v>79</v>
      </c>
      <c r="L93">
        <v>9.1999999999999993</v>
      </c>
    </row>
    <row r="94" spans="1:12" x14ac:dyDescent="0.35">
      <c r="A94" t="s">
        <v>16</v>
      </c>
      <c r="B94" t="s">
        <v>13</v>
      </c>
      <c r="C94" t="s">
        <v>19</v>
      </c>
      <c r="D94" t="s">
        <v>18</v>
      </c>
      <c r="E94">
        <v>36</v>
      </c>
      <c r="F94">
        <v>181</v>
      </c>
      <c r="G94">
        <v>69</v>
      </c>
      <c r="H94">
        <v>21.1</v>
      </c>
      <c r="I94">
        <v>134</v>
      </c>
      <c r="J94">
        <v>82</v>
      </c>
      <c r="K94">
        <v>68</v>
      </c>
      <c r="L94">
        <v>7.7</v>
      </c>
    </row>
    <row r="95" spans="1:12" x14ac:dyDescent="0.35">
      <c r="A95" t="s">
        <v>16</v>
      </c>
      <c r="B95" t="s">
        <v>24</v>
      </c>
      <c r="C95" t="s">
        <v>14</v>
      </c>
      <c r="D95" t="s">
        <v>15</v>
      </c>
      <c r="E95">
        <v>51</v>
      </c>
      <c r="F95">
        <v>183</v>
      </c>
      <c r="G95">
        <v>77</v>
      </c>
      <c r="H95">
        <v>23</v>
      </c>
      <c r="I95">
        <v>147</v>
      </c>
      <c r="J95">
        <v>84</v>
      </c>
      <c r="K95">
        <v>70</v>
      </c>
      <c r="L95">
        <v>8</v>
      </c>
    </row>
    <row r="96" spans="1:12" x14ac:dyDescent="0.35">
      <c r="A96" t="s">
        <v>16</v>
      </c>
      <c r="B96" t="s">
        <v>22</v>
      </c>
      <c r="C96" t="s">
        <v>19</v>
      </c>
      <c r="D96" t="s">
        <v>18</v>
      </c>
      <c r="E96">
        <v>58</v>
      </c>
      <c r="F96">
        <v>182</v>
      </c>
      <c r="G96">
        <v>78</v>
      </c>
      <c r="H96">
        <v>23.5</v>
      </c>
      <c r="I96">
        <v>124</v>
      </c>
      <c r="J96">
        <v>83</v>
      </c>
      <c r="K96">
        <v>83</v>
      </c>
      <c r="L96">
        <v>8.5</v>
      </c>
    </row>
    <row r="97" spans="1:12" x14ac:dyDescent="0.35">
      <c r="A97" t="s">
        <v>16</v>
      </c>
      <c r="B97" t="s">
        <v>25</v>
      </c>
      <c r="C97" t="s">
        <v>14</v>
      </c>
      <c r="D97" t="s">
        <v>15</v>
      </c>
      <c r="E97">
        <v>50</v>
      </c>
      <c r="F97">
        <v>189</v>
      </c>
      <c r="G97">
        <v>98</v>
      </c>
      <c r="H97">
        <v>27.4</v>
      </c>
      <c r="I97">
        <v>130</v>
      </c>
      <c r="J97">
        <v>92</v>
      </c>
      <c r="K97">
        <v>81</v>
      </c>
      <c r="L97">
        <v>10</v>
      </c>
    </row>
    <row r="98" spans="1:12" x14ac:dyDescent="0.35">
      <c r="A98" t="s">
        <v>16</v>
      </c>
      <c r="B98" t="s">
        <v>13</v>
      </c>
      <c r="C98" t="s">
        <v>14</v>
      </c>
      <c r="D98" t="s">
        <v>26</v>
      </c>
      <c r="E98">
        <v>43</v>
      </c>
      <c r="F98">
        <v>162</v>
      </c>
      <c r="G98">
        <v>67</v>
      </c>
      <c r="H98">
        <v>25.5</v>
      </c>
      <c r="I98">
        <v>144</v>
      </c>
      <c r="J98">
        <v>85</v>
      </c>
      <c r="K98">
        <v>60</v>
      </c>
      <c r="L98">
        <v>9.5</v>
      </c>
    </row>
    <row r="99" spans="1:12" x14ac:dyDescent="0.35">
      <c r="A99" t="s">
        <v>16</v>
      </c>
      <c r="B99" t="s">
        <v>24</v>
      </c>
      <c r="C99" t="s">
        <v>14</v>
      </c>
      <c r="D99" t="s">
        <v>15</v>
      </c>
      <c r="E99">
        <v>25</v>
      </c>
      <c r="F99">
        <v>170</v>
      </c>
      <c r="G99">
        <v>76</v>
      </c>
      <c r="H99">
        <v>26.3</v>
      </c>
      <c r="I99">
        <v>123</v>
      </c>
      <c r="J99">
        <v>87</v>
      </c>
      <c r="K99">
        <v>77</v>
      </c>
      <c r="L99">
        <v>9.3000000000000007</v>
      </c>
    </row>
    <row r="100" spans="1:12" x14ac:dyDescent="0.35">
      <c r="A100" t="s">
        <v>16</v>
      </c>
      <c r="B100" t="s">
        <v>25</v>
      </c>
      <c r="C100" t="s">
        <v>19</v>
      </c>
      <c r="D100" t="s">
        <v>20</v>
      </c>
      <c r="E100">
        <v>41</v>
      </c>
      <c r="F100">
        <v>184</v>
      </c>
      <c r="G100">
        <v>97</v>
      </c>
      <c r="H100">
        <v>28.7</v>
      </c>
      <c r="I100">
        <v>145</v>
      </c>
      <c r="J100">
        <v>91</v>
      </c>
      <c r="K100">
        <v>65</v>
      </c>
      <c r="L100">
        <v>7.8</v>
      </c>
    </row>
    <row r="101" spans="1:12" x14ac:dyDescent="0.35">
      <c r="A101" t="s">
        <v>12</v>
      </c>
      <c r="B101" t="s">
        <v>22</v>
      </c>
      <c r="C101" t="s">
        <v>14</v>
      </c>
      <c r="D101" t="s">
        <v>26</v>
      </c>
      <c r="E101">
        <v>53</v>
      </c>
      <c r="F101">
        <v>172</v>
      </c>
      <c r="G101">
        <v>91</v>
      </c>
      <c r="H101">
        <v>30.8</v>
      </c>
      <c r="I101">
        <v>121</v>
      </c>
      <c r="J101">
        <v>91</v>
      </c>
      <c r="K101">
        <v>86</v>
      </c>
      <c r="L101">
        <v>9.5</v>
      </c>
    </row>
    <row r="102" spans="1:12" x14ac:dyDescent="0.35">
      <c r="A102" t="s">
        <v>12</v>
      </c>
      <c r="B102" t="s">
        <v>25</v>
      </c>
      <c r="C102" t="s">
        <v>14</v>
      </c>
      <c r="D102" t="s">
        <v>20</v>
      </c>
      <c r="E102">
        <v>57</v>
      </c>
      <c r="F102">
        <v>156</v>
      </c>
      <c r="G102">
        <v>87</v>
      </c>
      <c r="H102">
        <v>35.700000000000003</v>
      </c>
      <c r="I102">
        <v>126</v>
      </c>
      <c r="J102">
        <v>80</v>
      </c>
      <c r="K102">
        <v>61</v>
      </c>
      <c r="L102">
        <v>9.5</v>
      </c>
    </row>
    <row r="103" spans="1:12" x14ac:dyDescent="0.35">
      <c r="A103" t="s">
        <v>16</v>
      </c>
      <c r="B103" t="s">
        <v>24</v>
      </c>
      <c r="C103" t="s">
        <v>14</v>
      </c>
      <c r="D103" t="s">
        <v>18</v>
      </c>
      <c r="E103">
        <v>25</v>
      </c>
      <c r="F103">
        <v>167</v>
      </c>
      <c r="G103">
        <v>57</v>
      </c>
      <c r="H103">
        <v>20.399999999999999</v>
      </c>
      <c r="I103">
        <v>148</v>
      </c>
      <c r="J103">
        <v>72</v>
      </c>
      <c r="K103">
        <v>74</v>
      </c>
      <c r="L103">
        <v>9</v>
      </c>
    </row>
    <row r="104" spans="1:12" x14ac:dyDescent="0.35">
      <c r="A104" t="s">
        <v>16</v>
      </c>
      <c r="B104" t="s">
        <v>17</v>
      </c>
      <c r="C104" t="s">
        <v>14</v>
      </c>
      <c r="D104" t="s">
        <v>18</v>
      </c>
      <c r="E104">
        <v>48</v>
      </c>
      <c r="F104">
        <v>158</v>
      </c>
      <c r="G104">
        <v>73</v>
      </c>
      <c r="H104">
        <v>29.2</v>
      </c>
      <c r="I104">
        <v>118</v>
      </c>
      <c r="J104">
        <v>91</v>
      </c>
      <c r="K104">
        <v>88</v>
      </c>
      <c r="L104">
        <v>10</v>
      </c>
    </row>
    <row r="105" spans="1:12" x14ac:dyDescent="0.35">
      <c r="A105" t="s">
        <v>16</v>
      </c>
      <c r="B105" t="s">
        <v>17</v>
      </c>
      <c r="C105" t="s">
        <v>14</v>
      </c>
      <c r="D105" t="s">
        <v>18</v>
      </c>
      <c r="E105">
        <v>38</v>
      </c>
      <c r="F105">
        <v>180</v>
      </c>
      <c r="G105">
        <v>77</v>
      </c>
      <c r="H105">
        <v>23.8</v>
      </c>
      <c r="I105">
        <v>144</v>
      </c>
      <c r="J105">
        <v>79</v>
      </c>
      <c r="K105">
        <v>85</v>
      </c>
      <c r="L105">
        <v>8.3000000000000007</v>
      </c>
    </row>
    <row r="106" spans="1:12" x14ac:dyDescent="0.35">
      <c r="A106" t="s">
        <v>16</v>
      </c>
      <c r="B106" t="s">
        <v>25</v>
      </c>
      <c r="C106" t="s">
        <v>14</v>
      </c>
      <c r="D106" t="s">
        <v>15</v>
      </c>
      <c r="E106">
        <v>33</v>
      </c>
      <c r="F106">
        <v>179</v>
      </c>
      <c r="G106">
        <v>83</v>
      </c>
      <c r="H106">
        <v>25.9</v>
      </c>
      <c r="I106">
        <v>122</v>
      </c>
      <c r="J106">
        <v>79</v>
      </c>
      <c r="K106">
        <v>80</v>
      </c>
      <c r="L106">
        <v>9.9</v>
      </c>
    </row>
    <row r="107" spans="1:12" x14ac:dyDescent="0.35">
      <c r="A107" t="s">
        <v>16</v>
      </c>
      <c r="B107" t="s">
        <v>21</v>
      </c>
      <c r="C107" t="s">
        <v>14</v>
      </c>
      <c r="D107" t="s">
        <v>26</v>
      </c>
      <c r="E107">
        <v>43</v>
      </c>
      <c r="F107">
        <v>184</v>
      </c>
      <c r="G107">
        <v>84</v>
      </c>
      <c r="H107">
        <v>24.8</v>
      </c>
      <c r="I107">
        <v>124</v>
      </c>
      <c r="J107">
        <v>90</v>
      </c>
      <c r="K107">
        <v>73</v>
      </c>
      <c r="L107">
        <v>9.8000000000000007</v>
      </c>
    </row>
    <row r="108" spans="1:12" x14ac:dyDescent="0.35">
      <c r="A108" t="s">
        <v>16</v>
      </c>
      <c r="B108" t="s">
        <v>25</v>
      </c>
      <c r="C108" t="s">
        <v>14</v>
      </c>
      <c r="D108" t="s">
        <v>18</v>
      </c>
      <c r="E108">
        <v>38</v>
      </c>
      <c r="F108">
        <v>165</v>
      </c>
      <c r="G108">
        <v>93</v>
      </c>
      <c r="H108">
        <v>34.200000000000003</v>
      </c>
      <c r="I108">
        <v>127</v>
      </c>
      <c r="J108">
        <v>85</v>
      </c>
      <c r="K108">
        <v>64</v>
      </c>
      <c r="L108">
        <v>7.5</v>
      </c>
    </row>
    <row r="109" spans="1:12" x14ac:dyDescent="0.35">
      <c r="A109" t="s">
        <v>16</v>
      </c>
      <c r="B109" t="s">
        <v>13</v>
      </c>
      <c r="C109" t="s">
        <v>14</v>
      </c>
      <c r="D109" t="s">
        <v>18</v>
      </c>
      <c r="E109">
        <v>31</v>
      </c>
      <c r="F109">
        <v>161</v>
      </c>
      <c r="G109">
        <v>98</v>
      </c>
      <c r="H109">
        <v>37.799999999999997</v>
      </c>
      <c r="I109">
        <v>142</v>
      </c>
      <c r="J109">
        <v>81</v>
      </c>
      <c r="K109">
        <v>65</v>
      </c>
      <c r="L109">
        <v>8.6</v>
      </c>
    </row>
    <row r="110" spans="1:12" x14ac:dyDescent="0.35">
      <c r="A110" t="s">
        <v>16</v>
      </c>
      <c r="B110" t="s">
        <v>13</v>
      </c>
      <c r="C110" t="s">
        <v>14</v>
      </c>
      <c r="D110" t="s">
        <v>26</v>
      </c>
      <c r="E110">
        <v>22</v>
      </c>
      <c r="F110">
        <v>185</v>
      </c>
      <c r="G110">
        <v>79</v>
      </c>
      <c r="H110">
        <v>23.1</v>
      </c>
      <c r="I110">
        <v>115</v>
      </c>
      <c r="J110">
        <v>71</v>
      </c>
      <c r="K110">
        <v>65</v>
      </c>
      <c r="L110">
        <v>9.9</v>
      </c>
    </row>
    <row r="111" spans="1:12" x14ac:dyDescent="0.35">
      <c r="A111" t="s">
        <v>12</v>
      </c>
      <c r="B111" t="s">
        <v>17</v>
      </c>
      <c r="C111" t="s">
        <v>14</v>
      </c>
      <c r="D111" t="s">
        <v>18</v>
      </c>
      <c r="E111">
        <v>43</v>
      </c>
      <c r="F111">
        <v>164</v>
      </c>
      <c r="G111">
        <v>91</v>
      </c>
      <c r="H111">
        <v>33.799999999999997</v>
      </c>
      <c r="I111">
        <v>136</v>
      </c>
      <c r="J111">
        <v>78</v>
      </c>
      <c r="K111">
        <v>89</v>
      </c>
      <c r="L111">
        <v>7.8</v>
      </c>
    </row>
    <row r="112" spans="1:12" x14ac:dyDescent="0.35">
      <c r="A112" t="s">
        <v>16</v>
      </c>
      <c r="B112" t="s">
        <v>21</v>
      </c>
      <c r="C112" t="s">
        <v>14</v>
      </c>
      <c r="D112" t="s">
        <v>20</v>
      </c>
      <c r="E112">
        <v>47</v>
      </c>
      <c r="F112">
        <v>167</v>
      </c>
      <c r="G112">
        <v>62</v>
      </c>
      <c r="H112">
        <v>22.2</v>
      </c>
      <c r="I112">
        <v>132</v>
      </c>
      <c r="J112">
        <v>93</v>
      </c>
      <c r="K112">
        <v>81</v>
      </c>
      <c r="L112">
        <v>8.9</v>
      </c>
    </row>
    <row r="113" spans="1:12" x14ac:dyDescent="0.35">
      <c r="A113" t="s">
        <v>12</v>
      </c>
      <c r="B113" t="s">
        <v>24</v>
      </c>
      <c r="C113" t="s">
        <v>23</v>
      </c>
      <c r="D113" t="s">
        <v>26</v>
      </c>
      <c r="E113">
        <v>39</v>
      </c>
      <c r="F113">
        <v>185</v>
      </c>
      <c r="G113">
        <v>96</v>
      </c>
      <c r="H113">
        <v>28</v>
      </c>
      <c r="I113">
        <v>136</v>
      </c>
      <c r="J113">
        <v>72</v>
      </c>
      <c r="K113">
        <v>89</v>
      </c>
      <c r="L113">
        <v>9.9</v>
      </c>
    </row>
    <row r="114" spans="1:12" x14ac:dyDescent="0.35">
      <c r="A114" t="s">
        <v>16</v>
      </c>
      <c r="B114" t="s">
        <v>13</v>
      </c>
      <c r="C114" t="s">
        <v>14</v>
      </c>
      <c r="D114" t="s">
        <v>26</v>
      </c>
      <c r="E114">
        <v>35</v>
      </c>
      <c r="F114">
        <v>161</v>
      </c>
      <c r="G114">
        <v>70</v>
      </c>
      <c r="H114">
        <v>27</v>
      </c>
      <c r="I114">
        <v>143</v>
      </c>
      <c r="J114">
        <v>93</v>
      </c>
      <c r="K114">
        <v>77</v>
      </c>
      <c r="L114">
        <v>8.9</v>
      </c>
    </row>
    <row r="115" spans="1:12" x14ac:dyDescent="0.35">
      <c r="A115" t="s">
        <v>16</v>
      </c>
      <c r="B115" t="s">
        <v>17</v>
      </c>
      <c r="C115" t="s">
        <v>14</v>
      </c>
      <c r="D115" t="s">
        <v>26</v>
      </c>
      <c r="E115">
        <v>50</v>
      </c>
      <c r="F115">
        <v>174</v>
      </c>
      <c r="G115">
        <v>62</v>
      </c>
      <c r="H115">
        <v>20.5</v>
      </c>
      <c r="I115">
        <v>147</v>
      </c>
      <c r="J115">
        <v>94</v>
      </c>
      <c r="K115">
        <v>73</v>
      </c>
      <c r="L115">
        <v>8</v>
      </c>
    </row>
    <row r="116" spans="1:12" x14ac:dyDescent="0.35">
      <c r="A116" t="s">
        <v>12</v>
      </c>
      <c r="B116" t="s">
        <v>22</v>
      </c>
      <c r="C116" t="s">
        <v>14</v>
      </c>
      <c r="D116" t="s">
        <v>20</v>
      </c>
      <c r="E116">
        <v>33</v>
      </c>
      <c r="F116">
        <v>158</v>
      </c>
      <c r="G116">
        <v>55</v>
      </c>
      <c r="H116">
        <v>22</v>
      </c>
      <c r="I116">
        <v>123</v>
      </c>
      <c r="J116">
        <v>84</v>
      </c>
      <c r="K116">
        <v>69</v>
      </c>
      <c r="L116">
        <v>9</v>
      </c>
    </row>
    <row r="117" spans="1:12" x14ac:dyDescent="0.35">
      <c r="A117" t="s">
        <v>16</v>
      </c>
      <c r="B117" t="s">
        <v>17</v>
      </c>
      <c r="C117" t="s">
        <v>14</v>
      </c>
      <c r="D117" t="s">
        <v>26</v>
      </c>
      <c r="E117">
        <v>57</v>
      </c>
      <c r="F117">
        <v>161</v>
      </c>
      <c r="G117">
        <v>98</v>
      </c>
      <c r="H117">
        <v>37.799999999999997</v>
      </c>
      <c r="I117">
        <v>145</v>
      </c>
      <c r="J117">
        <v>72</v>
      </c>
      <c r="K117">
        <v>73</v>
      </c>
      <c r="L117">
        <v>8</v>
      </c>
    </row>
    <row r="118" spans="1:12" x14ac:dyDescent="0.35">
      <c r="A118" t="s">
        <v>12</v>
      </c>
      <c r="B118" t="s">
        <v>13</v>
      </c>
      <c r="C118" t="s">
        <v>14</v>
      </c>
      <c r="D118" t="s">
        <v>20</v>
      </c>
      <c r="E118">
        <v>56</v>
      </c>
      <c r="F118">
        <v>155</v>
      </c>
      <c r="G118">
        <v>59</v>
      </c>
      <c r="H118">
        <v>24.6</v>
      </c>
      <c r="I118">
        <v>117</v>
      </c>
      <c r="J118">
        <v>88</v>
      </c>
      <c r="K118">
        <v>72</v>
      </c>
      <c r="L118">
        <v>8.8000000000000007</v>
      </c>
    </row>
    <row r="119" spans="1:12" x14ac:dyDescent="0.35">
      <c r="A119" t="s">
        <v>16</v>
      </c>
      <c r="B119" t="s">
        <v>13</v>
      </c>
      <c r="C119" t="s">
        <v>14</v>
      </c>
      <c r="D119" t="s">
        <v>26</v>
      </c>
      <c r="E119">
        <v>33</v>
      </c>
      <c r="F119">
        <v>167</v>
      </c>
      <c r="G119">
        <v>57</v>
      </c>
      <c r="H119">
        <v>20.399999999999999</v>
      </c>
      <c r="I119">
        <v>144</v>
      </c>
      <c r="J119">
        <v>87</v>
      </c>
      <c r="K119">
        <v>89</v>
      </c>
      <c r="L119">
        <v>7.7</v>
      </c>
    </row>
    <row r="120" spans="1:12" x14ac:dyDescent="0.35">
      <c r="A120" t="s">
        <v>16</v>
      </c>
      <c r="B120" t="s">
        <v>17</v>
      </c>
      <c r="C120" t="s">
        <v>14</v>
      </c>
      <c r="D120" t="s">
        <v>15</v>
      </c>
      <c r="E120">
        <v>28</v>
      </c>
      <c r="F120">
        <v>176</v>
      </c>
      <c r="G120">
        <v>55</v>
      </c>
      <c r="H120">
        <v>17.8</v>
      </c>
      <c r="I120">
        <v>128</v>
      </c>
      <c r="J120">
        <v>77</v>
      </c>
      <c r="K120">
        <v>62</v>
      </c>
      <c r="L120">
        <v>9</v>
      </c>
    </row>
    <row r="121" spans="1:12" x14ac:dyDescent="0.35">
      <c r="A121" t="s">
        <v>12</v>
      </c>
      <c r="B121" t="s">
        <v>24</v>
      </c>
      <c r="C121" t="s">
        <v>14</v>
      </c>
      <c r="D121" t="s">
        <v>18</v>
      </c>
      <c r="E121">
        <v>50</v>
      </c>
      <c r="F121">
        <v>175</v>
      </c>
      <c r="G121">
        <v>58</v>
      </c>
      <c r="H121">
        <v>18.899999999999999</v>
      </c>
      <c r="I121">
        <v>139</v>
      </c>
      <c r="J121">
        <v>86</v>
      </c>
      <c r="K121">
        <v>89</v>
      </c>
      <c r="L121">
        <v>8.8000000000000007</v>
      </c>
    </row>
    <row r="122" spans="1:12" x14ac:dyDescent="0.35">
      <c r="A122" t="s">
        <v>16</v>
      </c>
      <c r="B122" t="s">
        <v>25</v>
      </c>
      <c r="C122" t="s">
        <v>14</v>
      </c>
      <c r="D122" t="s">
        <v>15</v>
      </c>
      <c r="E122">
        <v>32</v>
      </c>
      <c r="F122">
        <v>176</v>
      </c>
      <c r="G122">
        <v>94</v>
      </c>
      <c r="H122">
        <v>30.3</v>
      </c>
      <c r="I122">
        <v>123</v>
      </c>
      <c r="J122">
        <v>77</v>
      </c>
      <c r="K122">
        <v>65</v>
      </c>
      <c r="L122">
        <v>9.4</v>
      </c>
    </row>
    <row r="123" spans="1:12" x14ac:dyDescent="0.35">
      <c r="A123" t="s">
        <v>12</v>
      </c>
      <c r="B123" t="s">
        <v>13</v>
      </c>
      <c r="C123" t="s">
        <v>14</v>
      </c>
      <c r="D123" t="s">
        <v>18</v>
      </c>
      <c r="E123">
        <v>54</v>
      </c>
      <c r="F123">
        <v>182</v>
      </c>
      <c r="G123">
        <v>89</v>
      </c>
      <c r="H123">
        <v>26.9</v>
      </c>
      <c r="I123">
        <v>129</v>
      </c>
      <c r="J123">
        <v>76</v>
      </c>
      <c r="K123">
        <v>88</v>
      </c>
      <c r="L123">
        <v>9.1</v>
      </c>
    </row>
    <row r="124" spans="1:12" x14ac:dyDescent="0.35">
      <c r="A124" t="s">
        <v>16</v>
      </c>
      <c r="B124" t="s">
        <v>17</v>
      </c>
      <c r="C124" t="s">
        <v>14</v>
      </c>
      <c r="D124" t="s">
        <v>20</v>
      </c>
      <c r="E124">
        <v>27</v>
      </c>
      <c r="F124">
        <v>163</v>
      </c>
      <c r="G124">
        <v>86</v>
      </c>
      <c r="H124">
        <v>32.4</v>
      </c>
      <c r="I124">
        <v>134</v>
      </c>
      <c r="J124">
        <v>76</v>
      </c>
      <c r="K124">
        <v>67</v>
      </c>
      <c r="L124">
        <v>8.9</v>
      </c>
    </row>
    <row r="125" spans="1:12" x14ac:dyDescent="0.35">
      <c r="A125" t="s">
        <v>12</v>
      </c>
      <c r="B125" t="s">
        <v>17</v>
      </c>
      <c r="C125" t="s">
        <v>14</v>
      </c>
      <c r="D125" t="s">
        <v>15</v>
      </c>
      <c r="E125">
        <v>36</v>
      </c>
      <c r="F125">
        <v>180</v>
      </c>
      <c r="G125">
        <v>96</v>
      </c>
      <c r="H125">
        <v>29.6</v>
      </c>
      <c r="I125">
        <v>149</v>
      </c>
      <c r="J125">
        <v>72</v>
      </c>
      <c r="K125">
        <v>71</v>
      </c>
      <c r="L125">
        <v>9.1999999999999993</v>
      </c>
    </row>
    <row r="126" spans="1:12" x14ac:dyDescent="0.35">
      <c r="A126" t="s">
        <v>12</v>
      </c>
      <c r="B126" t="s">
        <v>21</v>
      </c>
      <c r="C126" t="s">
        <v>14</v>
      </c>
      <c r="D126" t="s">
        <v>26</v>
      </c>
      <c r="E126">
        <v>53</v>
      </c>
      <c r="F126">
        <v>163</v>
      </c>
      <c r="G126">
        <v>88</v>
      </c>
      <c r="H126">
        <v>33.1</v>
      </c>
      <c r="I126">
        <v>133</v>
      </c>
      <c r="J126">
        <v>70</v>
      </c>
      <c r="K126">
        <v>72</v>
      </c>
      <c r="L126">
        <v>7.9</v>
      </c>
    </row>
    <row r="127" spans="1:12" x14ac:dyDescent="0.35">
      <c r="A127" t="s">
        <v>16</v>
      </c>
      <c r="B127" t="s">
        <v>25</v>
      </c>
      <c r="C127" t="s">
        <v>14</v>
      </c>
      <c r="D127" t="s">
        <v>18</v>
      </c>
      <c r="E127">
        <v>32</v>
      </c>
      <c r="F127">
        <v>169</v>
      </c>
      <c r="G127">
        <v>97</v>
      </c>
      <c r="H127">
        <v>34</v>
      </c>
      <c r="I127">
        <v>123</v>
      </c>
      <c r="J127">
        <v>73</v>
      </c>
      <c r="K127">
        <v>70</v>
      </c>
      <c r="L127">
        <v>9</v>
      </c>
    </row>
    <row r="128" spans="1:12" x14ac:dyDescent="0.35">
      <c r="A128" t="s">
        <v>16</v>
      </c>
      <c r="B128" t="s">
        <v>22</v>
      </c>
      <c r="C128" t="s">
        <v>14</v>
      </c>
      <c r="D128" t="s">
        <v>18</v>
      </c>
      <c r="E128">
        <v>44</v>
      </c>
      <c r="F128">
        <v>164</v>
      </c>
      <c r="G128">
        <v>79</v>
      </c>
      <c r="H128">
        <v>29.4</v>
      </c>
      <c r="I128">
        <v>135</v>
      </c>
      <c r="J128">
        <v>94</v>
      </c>
      <c r="K128">
        <v>71</v>
      </c>
      <c r="L128">
        <v>7.9</v>
      </c>
    </row>
    <row r="129" spans="1:12" x14ac:dyDescent="0.35">
      <c r="A129" t="s">
        <v>12</v>
      </c>
      <c r="B129" t="s">
        <v>24</v>
      </c>
      <c r="C129" t="s">
        <v>14</v>
      </c>
      <c r="D129" t="s">
        <v>15</v>
      </c>
      <c r="E129">
        <v>47</v>
      </c>
      <c r="F129">
        <v>178</v>
      </c>
      <c r="G129">
        <v>64</v>
      </c>
      <c r="H129">
        <v>20.2</v>
      </c>
      <c r="I129">
        <v>147</v>
      </c>
      <c r="J129">
        <v>74</v>
      </c>
      <c r="K129">
        <v>60</v>
      </c>
      <c r="L129">
        <v>9.8000000000000007</v>
      </c>
    </row>
    <row r="130" spans="1:12" x14ac:dyDescent="0.35">
      <c r="A130" t="s">
        <v>16</v>
      </c>
      <c r="B130" t="s">
        <v>22</v>
      </c>
      <c r="C130" t="s">
        <v>23</v>
      </c>
      <c r="D130" t="s">
        <v>20</v>
      </c>
      <c r="E130">
        <v>55</v>
      </c>
      <c r="F130">
        <v>162</v>
      </c>
      <c r="G130">
        <v>75</v>
      </c>
      <c r="H130">
        <v>28.6</v>
      </c>
      <c r="I130">
        <v>132</v>
      </c>
      <c r="J130">
        <v>70</v>
      </c>
      <c r="K130">
        <v>76</v>
      </c>
      <c r="L130">
        <v>7.7</v>
      </c>
    </row>
    <row r="131" spans="1:12" x14ac:dyDescent="0.35">
      <c r="A131" t="s">
        <v>16</v>
      </c>
      <c r="B131" t="s">
        <v>25</v>
      </c>
      <c r="C131" t="s">
        <v>14</v>
      </c>
      <c r="D131" t="s">
        <v>15</v>
      </c>
      <c r="E131">
        <v>55</v>
      </c>
      <c r="F131">
        <v>178</v>
      </c>
      <c r="G131">
        <v>93</v>
      </c>
      <c r="H131">
        <v>29.4</v>
      </c>
      <c r="I131">
        <v>131</v>
      </c>
      <c r="J131">
        <v>84</v>
      </c>
      <c r="K131">
        <v>75</v>
      </c>
      <c r="L131">
        <v>8.6</v>
      </c>
    </row>
    <row r="132" spans="1:12" x14ac:dyDescent="0.35">
      <c r="A132" t="s">
        <v>16</v>
      </c>
      <c r="B132" t="s">
        <v>25</v>
      </c>
      <c r="C132" t="s">
        <v>14</v>
      </c>
      <c r="D132" t="s">
        <v>20</v>
      </c>
      <c r="E132">
        <v>50</v>
      </c>
      <c r="F132">
        <v>170</v>
      </c>
      <c r="G132">
        <v>81</v>
      </c>
      <c r="H132">
        <v>28</v>
      </c>
      <c r="I132">
        <v>128</v>
      </c>
      <c r="J132">
        <v>74</v>
      </c>
      <c r="K132">
        <v>70</v>
      </c>
      <c r="L132">
        <v>9.1999999999999993</v>
      </c>
    </row>
    <row r="133" spans="1:12" x14ac:dyDescent="0.35">
      <c r="A133" t="s">
        <v>12</v>
      </c>
      <c r="B133" t="s">
        <v>25</v>
      </c>
      <c r="C133" t="s">
        <v>23</v>
      </c>
      <c r="D133" t="s">
        <v>20</v>
      </c>
      <c r="E133">
        <v>25</v>
      </c>
      <c r="F133">
        <v>180</v>
      </c>
      <c r="G133">
        <v>81</v>
      </c>
      <c r="H133">
        <v>25</v>
      </c>
      <c r="I133">
        <v>112</v>
      </c>
      <c r="J133">
        <v>82</v>
      </c>
      <c r="K133">
        <v>72</v>
      </c>
      <c r="L133">
        <v>8.6</v>
      </c>
    </row>
    <row r="134" spans="1:12" x14ac:dyDescent="0.35">
      <c r="A134" t="s">
        <v>12</v>
      </c>
      <c r="B134" t="s">
        <v>22</v>
      </c>
      <c r="C134" t="s">
        <v>19</v>
      </c>
      <c r="D134" t="s">
        <v>18</v>
      </c>
      <c r="E134">
        <v>38</v>
      </c>
      <c r="F134">
        <v>181</v>
      </c>
      <c r="G134">
        <v>56</v>
      </c>
      <c r="H134">
        <v>17.100000000000001</v>
      </c>
      <c r="I134">
        <v>128</v>
      </c>
      <c r="J134">
        <v>77</v>
      </c>
      <c r="K134">
        <v>77</v>
      </c>
      <c r="L134">
        <v>7.7</v>
      </c>
    </row>
    <row r="135" spans="1:12" x14ac:dyDescent="0.35">
      <c r="A135" t="s">
        <v>12</v>
      </c>
      <c r="B135" t="s">
        <v>25</v>
      </c>
      <c r="C135" t="s">
        <v>14</v>
      </c>
      <c r="D135" t="s">
        <v>15</v>
      </c>
      <c r="E135">
        <v>56</v>
      </c>
      <c r="F135">
        <v>158</v>
      </c>
      <c r="G135">
        <v>95</v>
      </c>
      <c r="H135">
        <v>38.1</v>
      </c>
      <c r="I135">
        <v>118</v>
      </c>
      <c r="J135">
        <v>77</v>
      </c>
      <c r="K135">
        <v>70</v>
      </c>
      <c r="L135">
        <v>8.9</v>
      </c>
    </row>
    <row r="136" spans="1:12" x14ac:dyDescent="0.35">
      <c r="A136" t="s">
        <v>12</v>
      </c>
      <c r="B136" t="s">
        <v>17</v>
      </c>
      <c r="C136" t="s">
        <v>14</v>
      </c>
      <c r="D136" t="s">
        <v>15</v>
      </c>
      <c r="E136">
        <v>34</v>
      </c>
      <c r="F136">
        <v>178</v>
      </c>
      <c r="G136">
        <v>67</v>
      </c>
      <c r="H136">
        <v>21.1</v>
      </c>
      <c r="I136">
        <v>137</v>
      </c>
      <c r="J136">
        <v>74</v>
      </c>
      <c r="K136">
        <v>87</v>
      </c>
      <c r="L136">
        <v>9.1</v>
      </c>
    </row>
    <row r="137" spans="1:12" x14ac:dyDescent="0.35">
      <c r="A137" t="s">
        <v>12</v>
      </c>
      <c r="B137" t="s">
        <v>22</v>
      </c>
      <c r="C137" t="s">
        <v>23</v>
      </c>
      <c r="D137" t="s">
        <v>20</v>
      </c>
      <c r="E137">
        <v>36</v>
      </c>
      <c r="F137">
        <v>173</v>
      </c>
      <c r="G137">
        <v>63</v>
      </c>
      <c r="H137">
        <v>21</v>
      </c>
      <c r="I137">
        <v>129</v>
      </c>
      <c r="J137">
        <v>78</v>
      </c>
      <c r="K137">
        <v>71</v>
      </c>
      <c r="L137">
        <v>9.3000000000000007</v>
      </c>
    </row>
    <row r="138" spans="1:12" x14ac:dyDescent="0.35">
      <c r="A138" t="s">
        <v>12</v>
      </c>
      <c r="B138" t="s">
        <v>25</v>
      </c>
      <c r="C138" t="s">
        <v>23</v>
      </c>
      <c r="D138" t="s">
        <v>15</v>
      </c>
      <c r="E138">
        <v>50</v>
      </c>
      <c r="F138">
        <v>164</v>
      </c>
      <c r="G138">
        <v>90</v>
      </c>
      <c r="H138">
        <v>33.5</v>
      </c>
      <c r="I138">
        <v>116</v>
      </c>
      <c r="J138">
        <v>70</v>
      </c>
      <c r="K138">
        <v>65</v>
      </c>
      <c r="L138">
        <v>8.4</v>
      </c>
    </row>
    <row r="139" spans="1:12" x14ac:dyDescent="0.35">
      <c r="A139" t="s">
        <v>12</v>
      </c>
      <c r="B139" t="s">
        <v>17</v>
      </c>
      <c r="C139" t="s">
        <v>14</v>
      </c>
      <c r="D139" t="s">
        <v>26</v>
      </c>
      <c r="E139">
        <v>50</v>
      </c>
      <c r="F139">
        <v>179</v>
      </c>
      <c r="G139">
        <v>76</v>
      </c>
      <c r="H139">
        <v>23.7</v>
      </c>
      <c r="I139">
        <v>123</v>
      </c>
      <c r="J139">
        <v>73</v>
      </c>
      <c r="K139">
        <v>68</v>
      </c>
      <c r="L139">
        <v>8.9</v>
      </c>
    </row>
    <row r="140" spans="1:12" x14ac:dyDescent="0.35">
      <c r="A140" t="s">
        <v>12</v>
      </c>
      <c r="B140" t="s">
        <v>21</v>
      </c>
      <c r="C140" t="s">
        <v>14</v>
      </c>
      <c r="D140" t="s">
        <v>26</v>
      </c>
      <c r="E140">
        <v>32</v>
      </c>
      <c r="F140">
        <v>172</v>
      </c>
      <c r="G140">
        <v>96</v>
      </c>
      <c r="H140">
        <v>32.4</v>
      </c>
      <c r="I140">
        <v>118</v>
      </c>
      <c r="J140">
        <v>72</v>
      </c>
      <c r="K140">
        <v>75</v>
      </c>
      <c r="L140">
        <v>8.6</v>
      </c>
    </row>
    <row r="141" spans="1:12" x14ac:dyDescent="0.35">
      <c r="A141" t="s">
        <v>12</v>
      </c>
      <c r="B141" t="s">
        <v>25</v>
      </c>
      <c r="C141" t="s">
        <v>14</v>
      </c>
      <c r="D141" t="s">
        <v>15</v>
      </c>
      <c r="E141">
        <v>53</v>
      </c>
      <c r="F141">
        <v>173</v>
      </c>
      <c r="G141">
        <v>80</v>
      </c>
      <c r="H141">
        <v>26.7</v>
      </c>
      <c r="I141">
        <v>128</v>
      </c>
      <c r="J141">
        <v>71</v>
      </c>
      <c r="K141">
        <v>63</v>
      </c>
      <c r="L141">
        <v>9.1999999999999993</v>
      </c>
    </row>
    <row r="142" spans="1:12" x14ac:dyDescent="0.35">
      <c r="A142" t="s">
        <v>16</v>
      </c>
      <c r="B142" t="s">
        <v>22</v>
      </c>
      <c r="C142" t="s">
        <v>14</v>
      </c>
      <c r="D142" t="s">
        <v>15</v>
      </c>
      <c r="E142">
        <v>23</v>
      </c>
      <c r="F142">
        <v>164</v>
      </c>
      <c r="G142">
        <v>66</v>
      </c>
      <c r="H142">
        <v>24.5</v>
      </c>
      <c r="I142">
        <v>123</v>
      </c>
      <c r="J142">
        <v>77</v>
      </c>
      <c r="K142">
        <v>62</v>
      </c>
      <c r="L142">
        <v>9</v>
      </c>
    </row>
    <row r="143" spans="1:12" x14ac:dyDescent="0.35">
      <c r="A143" t="s">
        <v>12</v>
      </c>
      <c r="B143" t="s">
        <v>13</v>
      </c>
      <c r="C143" t="s">
        <v>14</v>
      </c>
      <c r="D143" t="s">
        <v>20</v>
      </c>
      <c r="E143">
        <v>35</v>
      </c>
      <c r="F143">
        <v>187</v>
      </c>
      <c r="G143">
        <v>71</v>
      </c>
      <c r="H143">
        <v>20.3</v>
      </c>
      <c r="I143">
        <v>147</v>
      </c>
      <c r="J143">
        <v>92</v>
      </c>
      <c r="K143">
        <v>87</v>
      </c>
      <c r="L143">
        <v>8.8000000000000007</v>
      </c>
    </row>
    <row r="144" spans="1:12" x14ac:dyDescent="0.35">
      <c r="A144" t="s">
        <v>16</v>
      </c>
      <c r="B144" t="s">
        <v>25</v>
      </c>
      <c r="C144" t="s">
        <v>14</v>
      </c>
      <c r="D144" t="s">
        <v>26</v>
      </c>
      <c r="E144">
        <v>41</v>
      </c>
      <c r="F144">
        <v>159</v>
      </c>
      <c r="G144">
        <v>68</v>
      </c>
      <c r="H144">
        <v>26.9</v>
      </c>
      <c r="I144">
        <v>145</v>
      </c>
      <c r="J144">
        <v>78</v>
      </c>
      <c r="K144">
        <v>75</v>
      </c>
      <c r="L144">
        <v>8.1</v>
      </c>
    </row>
    <row r="145" spans="1:12" x14ac:dyDescent="0.35">
      <c r="A145" t="s">
        <v>16</v>
      </c>
      <c r="B145" t="s">
        <v>13</v>
      </c>
      <c r="C145" t="s">
        <v>14</v>
      </c>
      <c r="D145" t="s">
        <v>26</v>
      </c>
      <c r="E145">
        <v>43</v>
      </c>
      <c r="F145">
        <v>189</v>
      </c>
      <c r="G145">
        <v>68</v>
      </c>
      <c r="H145">
        <v>19</v>
      </c>
      <c r="I145">
        <v>149</v>
      </c>
      <c r="J145">
        <v>71</v>
      </c>
      <c r="K145">
        <v>83</v>
      </c>
      <c r="L145">
        <v>7.5</v>
      </c>
    </row>
    <row r="146" spans="1:12" x14ac:dyDescent="0.35">
      <c r="A146" t="s">
        <v>16</v>
      </c>
      <c r="B146" t="s">
        <v>17</v>
      </c>
      <c r="C146" t="s">
        <v>23</v>
      </c>
      <c r="D146" t="s">
        <v>18</v>
      </c>
      <c r="E146">
        <v>32</v>
      </c>
      <c r="F146">
        <v>188</v>
      </c>
      <c r="G146">
        <v>88</v>
      </c>
      <c r="H146">
        <v>24.9</v>
      </c>
      <c r="I146">
        <v>126</v>
      </c>
      <c r="J146">
        <v>83</v>
      </c>
      <c r="K146">
        <v>86</v>
      </c>
      <c r="L146">
        <v>7.9</v>
      </c>
    </row>
    <row r="147" spans="1:12" x14ac:dyDescent="0.35">
      <c r="A147" t="s">
        <v>12</v>
      </c>
      <c r="B147" t="s">
        <v>21</v>
      </c>
      <c r="C147" t="s">
        <v>14</v>
      </c>
      <c r="D147" t="s">
        <v>20</v>
      </c>
      <c r="E147">
        <v>48</v>
      </c>
      <c r="F147">
        <v>187</v>
      </c>
      <c r="G147">
        <v>74</v>
      </c>
      <c r="H147">
        <v>21.2</v>
      </c>
      <c r="I147">
        <v>139</v>
      </c>
      <c r="J147">
        <v>83</v>
      </c>
      <c r="K147">
        <v>85</v>
      </c>
      <c r="L147">
        <v>7.8</v>
      </c>
    </row>
    <row r="148" spans="1:12" x14ac:dyDescent="0.35">
      <c r="A148" t="s">
        <v>12</v>
      </c>
      <c r="B148" t="s">
        <v>24</v>
      </c>
      <c r="C148" t="s">
        <v>14</v>
      </c>
      <c r="D148" t="s">
        <v>18</v>
      </c>
      <c r="E148">
        <v>24</v>
      </c>
      <c r="F148">
        <v>175</v>
      </c>
      <c r="G148">
        <v>65</v>
      </c>
      <c r="H148">
        <v>21.2</v>
      </c>
      <c r="I148">
        <v>118</v>
      </c>
      <c r="J148">
        <v>73</v>
      </c>
      <c r="K148">
        <v>89</v>
      </c>
      <c r="L148">
        <v>8.6</v>
      </c>
    </row>
    <row r="149" spans="1:12" x14ac:dyDescent="0.35">
      <c r="A149" t="s">
        <v>12</v>
      </c>
      <c r="B149" t="s">
        <v>21</v>
      </c>
      <c r="C149" t="s">
        <v>23</v>
      </c>
      <c r="D149" t="s">
        <v>26</v>
      </c>
      <c r="E149">
        <v>38</v>
      </c>
      <c r="F149">
        <v>171</v>
      </c>
      <c r="G149">
        <v>70</v>
      </c>
      <c r="H149">
        <v>23.9</v>
      </c>
      <c r="I149">
        <v>142</v>
      </c>
      <c r="J149">
        <v>75</v>
      </c>
      <c r="K149">
        <v>84</v>
      </c>
      <c r="L149">
        <v>9</v>
      </c>
    </row>
    <row r="150" spans="1:12" x14ac:dyDescent="0.35">
      <c r="A150" t="s">
        <v>12</v>
      </c>
      <c r="B150" t="s">
        <v>25</v>
      </c>
      <c r="C150" t="s">
        <v>23</v>
      </c>
      <c r="D150" t="s">
        <v>20</v>
      </c>
      <c r="E150">
        <v>49</v>
      </c>
      <c r="F150">
        <v>176</v>
      </c>
      <c r="G150">
        <v>85</v>
      </c>
      <c r="H150">
        <v>27.4</v>
      </c>
      <c r="I150">
        <v>134</v>
      </c>
      <c r="J150">
        <v>80</v>
      </c>
      <c r="K150">
        <v>71</v>
      </c>
      <c r="L150">
        <v>8</v>
      </c>
    </row>
    <row r="151" spans="1:12" x14ac:dyDescent="0.35">
      <c r="A151" t="s">
        <v>16</v>
      </c>
      <c r="B151" t="s">
        <v>13</v>
      </c>
      <c r="C151" t="s">
        <v>14</v>
      </c>
      <c r="D151" t="s">
        <v>15</v>
      </c>
      <c r="E151">
        <v>50</v>
      </c>
      <c r="F151">
        <v>169</v>
      </c>
      <c r="G151">
        <v>60</v>
      </c>
      <c r="H151">
        <v>21</v>
      </c>
      <c r="I151">
        <v>123</v>
      </c>
      <c r="J151">
        <v>72</v>
      </c>
      <c r="K151">
        <v>70</v>
      </c>
      <c r="L151">
        <v>9.8000000000000007</v>
      </c>
    </row>
    <row r="152" spans="1:12" x14ac:dyDescent="0.35">
      <c r="A152" t="s">
        <v>12</v>
      </c>
      <c r="B152" t="s">
        <v>13</v>
      </c>
      <c r="C152" t="s">
        <v>14</v>
      </c>
      <c r="D152" t="s">
        <v>20</v>
      </c>
      <c r="E152">
        <v>42</v>
      </c>
      <c r="F152">
        <v>189</v>
      </c>
      <c r="G152">
        <v>73</v>
      </c>
      <c r="H152">
        <v>20.399999999999999</v>
      </c>
      <c r="I152">
        <v>120</v>
      </c>
      <c r="J152">
        <v>77</v>
      </c>
      <c r="K152">
        <v>64</v>
      </c>
      <c r="L152">
        <v>7.5</v>
      </c>
    </row>
    <row r="153" spans="1:12" x14ac:dyDescent="0.35">
      <c r="A153" t="s">
        <v>12</v>
      </c>
      <c r="B153" t="s">
        <v>22</v>
      </c>
      <c r="C153" t="s">
        <v>14</v>
      </c>
      <c r="D153" t="s">
        <v>15</v>
      </c>
      <c r="E153">
        <v>37</v>
      </c>
      <c r="F153">
        <v>182</v>
      </c>
      <c r="G153">
        <v>91</v>
      </c>
      <c r="H153">
        <v>27.5</v>
      </c>
      <c r="I153">
        <v>144</v>
      </c>
      <c r="J153">
        <v>72</v>
      </c>
      <c r="K153">
        <v>84</v>
      </c>
      <c r="L153">
        <v>9.4</v>
      </c>
    </row>
    <row r="154" spans="1:12" x14ac:dyDescent="0.35">
      <c r="A154" t="s">
        <v>12</v>
      </c>
      <c r="B154" t="s">
        <v>13</v>
      </c>
      <c r="C154" t="s">
        <v>14</v>
      </c>
      <c r="D154" t="s">
        <v>15</v>
      </c>
      <c r="E154">
        <v>58</v>
      </c>
      <c r="F154">
        <v>161</v>
      </c>
      <c r="G154">
        <v>58</v>
      </c>
      <c r="H154">
        <v>22.4</v>
      </c>
      <c r="I154">
        <v>123</v>
      </c>
      <c r="J154">
        <v>83</v>
      </c>
      <c r="K154">
        <v>77</v>
      </c>
      <c r="L154">
        <v>9.1</v>
      </c>
    </row>
    <row r="155" spans="1:12" x14ac:dyDescent="0.35">
      <c r="A155" t="s">
        <v>12</v>
      </c>
      <c r="B155" t="s">
        <v>22</v>
      </c>
      <c r="C155" t="s">
        <v>14</v>
      </c>
      <c r="D155" t="s">
        <v>20</v>
      </c>
      <c r="E155">
        <v>41</v>
      </c>
      <c r="F155">
        <v>186</v>
      </c>
      <c r="G155">
        <v>58</v>
      </c>
      <c r="H155">
        <v>16.8</v>
      </c>
      <c r="I155">
        <v>139</v>
      </c>
      <c r="J155">
        <v>82</v>
      </c>
      <c r="K155">
        <v>78</v>
      </c>
      <c r="L155">
        <v>8.4</v>
      </c>
    </row>
    <row r="156" spans="1:12" x14ac:dyDescent="0.35">
      <c r="A156" t="s">
        <v>12</v>
      </c>
      <c r="B156" t="s">
        <v>17</v>
      </c>
      <c r="C156" t="s">
        <v>14</v>
      </c>
      <c r="D156" t="s">
        <v>15</v>
      </c>
      <c r="E156">
        <v>27</v>
      </c>
      <c r="F156">
        <v>165</v>
      </c>
      <c r="G156">
        <v>74</v>
      </c>
      <c r="H156">
        <v>27.2</v>
      </c>
      <c r="I156">
        <v>113</v>
      </c>
      <c r="J156">
        <v>82</v>
      </c>
      <c r="K156">
        <v>82</v>
      </c>
      <c r="L156">
        <v>7.6</v>
      </c>
    </row>
    <row r="157" spans="1:12" x14ac:dyDescent="0.35">
      <c r="A157" t="s">
        <v>16</v>
      </c>
      <c r="B157" t="s">
        <v>24</v>
      </c>
      <c r="C157" t="s">
        <v>14</v>
      </c>
      <c r="D157" t="s">
        <v>18</v>
      </c>
      <c r="E157">
        <v>40</v>
      </c>
      <c r="F157">
        <v>164</v>
      </c>
      <c r="G157">
        <v>64</v>
      </c>
      <c r="H157">
        <v>23.8</v>
      </c>
      <c r="I157">
        <v>113</v>
      </c>
      <c r="J157">
        <v>71</v>
      </c>
      <c r="K157">
        <v>82</v>
      </c>
      <c r="L157">
        <v>9.1</v>
      </c>
    </row>
    <row r="158" spans="1:12" x14ac:dyDescent="0.35">
      <c r="A158" t="s">
        <v>12</v>
      </c>
      <c r="B158" t="s">
        <v>25</v>
      </c>
      <c r="C158" t="s">
        <v>14</v>
      </c>
      <c r="D158" t="s">
        <v>26</v>
      </c>
      <c r="E158">
        <v>26</v>
      </c>
      <c r="F158">
        <v>163</v>
      </c>
      <c r="G158">
        <v>78</v>
      </c>
      <c r="H158">
        <v>29.4</v>
      </c>
      <c r="I158">
        <v>137</v>
      </c>
      <c r="J158">
        <v>82</v>
      </c>
      <c r="K158">
        <v>65</v>
      </c>
      <c r="L158">
        <v>8.5</v>
      </c>
    </row>
    <row r="159" spans="1:12" x14ac:dyDescent="0.35">
      <c r="A159" t="s">
        <v>16</v>
      </c>
      <c r="B159" t="s">
        <v>22</v>
      </c>
      <c r="C159" t="s">
        <v>14</v>
      </c>
      <c r="D159" t="s">
        <v>15</v>
      </c>
      <c r="E159">
        <v>24</v>
      </c>
      <c r="F159">
        <v>168</v>
      </c>
      <c r="G159">
        <v>89</v>
      </c>
      <c r="H159">
        <v>31.5</v>
      </c>
      <c r="I159">
        <v>117</v>
      </c>
      <c r="J159">
        <v>88</v>
      </c>
      <c r="K159">
        <v>81</v>
      </c>
      <c r="L159">
        <v>9.8000000000000007</v>
      </c>
    </row>
    <row r="160" spans="1:12" x14ac:dyDescent="0.35">
      <c r="A160" t="s">
        <v>12</v>
      </c>
      <c r="B160" t="s">
        <v>24</v>
      </c>
      <c r="C160" t="s">
        <v>14</v>
      </c>
      <c r="D160" t="s">
        <v>18</v>
      </c>
      <c r="E160">
        <v>22</v>
      </c>
      <c r="F160">
        <v>167</v>
      </c>
      <c r="G160">
        <v>80</v>
      </c>
      <c r="H160">
        <v>28.7</v>
      </c>
      <c r="I160">
        <v>111</v>
      </c>
      <c r="J160">
        <v>75</v>
      </c>
      <c r="K160">
        <v>77</v>
      </c>
      <c r="L160">
        <v>8.9</v>
      </c>
    </row>
    <row r="161" spans="1:12" x14ac:dyDescent="0.35">
      <c r="A161" t="s">
        <v>16</v>
      </c>
      <c r="B161" t="s">
        <v>13</v>
      </c>
      <c r="C161" t="s">
        <v>14</v>
      </c>
      <c r="D161" t="s">
        <v>15</v>
      </c>
      <c r="E161">
        <v>59</v>
      </c>
      <c r="F161">
        <v>179</v>
      </c>
      <c r="G161">
        <v>91</v>
      </c>
      <c r="H161">
        <v>28.4</v>
      </c>
      <c r="I161">
        <v>131</v>
      </c>
      <c r="J161">
        <v>85</v>
      </c>
      <c r="K161">
        <v>85</v>
      </c>
      <c r="L161">
        <v>9.8000000000000007</v>
      </c>
    </row>
    <row r="162" spans="1:12" x14ac:dyDescent="0.35">
      <c r="A162" t="s">
        <v>12</v>
      </c>
      <c r="B162" t="s">
        <v>13</v>
      </c>
      <c r="C162" t="s">
        <v>14</v>
      </c>
      <c r="D162" t="s">
        <v>26</v>
      </c>
      <c r="E162">
        <v>36</v>
      </c>
      <c r="F162">
        <v>156</v>
      </c>
      <c r="G162">
        <v>92</v>
      </c>
      <c r="H162">
        <v>37.799999999999997</v>
      </c>
      <c r="I162">
        <v>125</v>
      </c>
      <c r="J162">
        <v>71</v>
      </c>
      <c r="K162">
        <v>65</v>
      </c>
      <c r="L162">
        <v>8.1</v>
      </c>
    </row>
    <row r="163" spans="1:12" x14ac:dyDescent="0.35">
      <c r="A163" t="s">
        <v>12</v>
      </c>
      <c r="B163" t="s">
        <v>24</v>
      </c>
      <c r="C163" t="s">
        <v>14</v>
      </c>
      <c r="D163" t="s">
        <v>18</v>
      </c>
      <c r="E163">
        <v>55</v>
      </c>
      <c r="F163">
        <v>189</v>
      </c>
      <c r="G163">
        <v>75</v>
      </c>
      <c r="H163">
        <v>21</v>
      </c>
      <c r="I163">
        <v>138</v>
      </c>
      <c r="J163">
        <v>77</v>
      </c>
      <c r="K163">
        <v>63</v>
      </c>
      <c r="L163">
        <v>9.3000000000000007</v>
      </c>
    </row>
    <row r="164" spans="1:12" x14ac:dyDescent="0.35">
      <c r="A164" t="s">
        <v>16</v>
      </c>
      <c r="B164" t="s">
        <v>13</v>
      </c>
      <c r="C164" t="s">
        <v>23</v>
      </c>
      <c r="D164" t="s">
        <v>26</v>
      </c>
      <c r="E164">
        <v>56</v>
      </c>
      <c r="F164">
        <v>161</v>
      </c>
      <c r="G164">
        <v>94</v>
      </c>
      <c r="H164">
        <v>36.299999999999997</v>
      </c>
      <c r="I164">
        <v>139</v>
      </c>
      <c r="J164">
        <v>86</v>
      </c>
      <c r="K164">
        <v>71</v>
      </c>
      <c r="L164">
        <v>9</v>
      </c>
    </row>
    <row r="165" spans="1:12" x14ac:dyDescent="0.35">
      <c r="A165" t="s">
        <v>16</v>
      </c>
      <c r="B165" t="s">
        <v>17</v>
      </c>
      <c r="C165" t="s">
        <v>14</v>
      </c>
      <c r="D165" t="s">
        <v>26</v>
      </c>
      <c r="E165">
        <v>46</v>
      </c>
      <c r="F165">
        <v>175</v>
      </c>
      <c r="G165">
        <v>93</v>
      </c>
      <c r="H165">
        <v>30.4</v>
      </c>
      <c r="I165">
        <v>121</v>
      </c>
      <c r="J165">
        <v>92</v>
      </c>
      <c r="K165">
        <v>78</v>
      </c>
      <c r="L165">
        <v>9.3000000000000007</v>
      </c>
    </row>
    <row r="166" spans="1:12" x14ac:dyDescent="0.35">
      <c r="A166" t="s">
        <v>16</v>
      </c>
      <c r="B166" t="s">
        <v>17</v>
      </c>
      <c r="C166" t="s">
        <v>14</v>
      </c>
      <c r="D166" t="s">
        <v>18</v>
      </c>
      <c r="E166">
        <v>45</v>
      </c>
      <c r="F166">
        <v>172</v>
      </c>
      <c r="G166">
        <v>75</v>
      </c>
      <c r="H166">
        <v>25.4</v>
      </c>
      <c r="I166">
        <v>144</v>
      </c>
      <c r="J166">
        <v>71</v>
      </c>
      <c r="K166">
        <v>88</v>
      </c>
      <c r="L166">
        <v>8</v>
      </c>
    </row>
    <row r="167" spans="1:12" x14ac:dyDescent="0.35">
      <c r="A167" t="s">
        <v>12</v>
      </c>
      <c r="B167" t="s">
        <v>24</v>
      </c>
      <c r="C167" t="s">
        <v>23</v>
      </c>
      <c r="D167" t="s">
        <v>18</v>
      </c>
      <c r="E167">
        <v>33</v>
      </c>
      <c r="F167">
        <v>157</v>
      </c>
      <c r="G167">
        <v>64</v>
      </c>
      <c r="H167">
        <v>26</v>
      </c>
      <c r="I167">
        <v>120</v>
      </c>
      <c r="J167">
        <v>79</v>
      </c>
      <c r="K167">
        <v>86</v>
      </c>
      <c r="L167">
        <v>9.1999999999999993</v>
      </c>
    </row>
    <row r="168" spans="1:12" x14ac:dyDescent="0.35">
      <c r="A168" t="s">
        <v>16</v>
      </c>
      <c r="B168" t="s">
        <v>22</v>
      </c>
      <c r="C168" t="s">
        <v>14</v>
      </c>
      <c r="D168" t="s">
        <v>18</v>
      </c>
      <c r="E168">
        <v>39</v>
      </c>
      <c r="F168">
        <v>165</v>
      </c>
      <c r="G168">
        <v>92</v>
      </c>
      <c r="H168">
        <v>33.799999999999997</v>
      </c>
      <c r="I168">
        <v>130</v>
      </c>
      <c r="J168">
        <v>85</v>
      </c>
      <c r="K168">
        <v>88</v>
      </c>
      <c r="L168">
        <v>8.6999999999999993</v>
      </c>
    </row>
    <row r="169" spans="1:12" x14ac:dyDescent="0.35">
      <c r="A169" t="s">
        <v>12</v>
      </c>
      <c r="B169" t="s">
        <v>22</v>
      </c>
      <c r="C169" t="s">
        <v>14</v>
      </c>
      <c r="D169" t="s">
        <v>20</v>
      </c>
      <c r="E169">
        <v>36</v>
      </c>
      <c r="F169">
        <v>178</v>
      </c>
      <c r="G169">
        <v>58</v>
      </c>
      <c r="H169">
        <v>18.3</v>
      </c>
      <c r="I169">
        <v>130</v>
      </c>
      <c r="J169">
        <v>75</v>
      </c>
      <c r="K169">
        <v>61</v>
      </c>
      <c r="L169">
        <v>9.4</v>
      </c>
    </row>
    <row r="170" spans="1:12" x14ac:dyDescent="0.35">
      <c r="A170" t="s">
        <v>12</v>
      </c>
      <c r="B170" t="s">
        <v>24</v>
      </c>
      <c r="C170" t="s">
        <v>14</v>
      </c>
      <c r="D170" t="s">
        <v>18</v>
      </c>
      <c r="E170">
        <v>37</v>
      </c>
      <c r="F170">
        <v>173</v>
      </c>
      <c r="G170">
        <v>99</v>
      </c>
      <c r="H170">
        <v>33.1</v>
      </c>
      <c r="I170">
        <v>114</v>
      </c>
      <c r="J170">
        <v>71</v>
      </c>
      <c r="K170">
        <v>76</v>
      </c>
      <c r="L170">
        <v>8.3000000000000007</v>
      </c>
    </row>
    <row r="171" spans="1:12" x14ac:dyDescent="0.35">
      <c r="A171" t="s">
        <v>16</v>
      </c>
      <c r="B171" t="s">
        <v>22</v>
      </c>
      <c r="C171" t="s">
        <v>14</v>
      </c>
      <c r="D171" t="s">
        <v>18</v>
      </c>
      <c r="E171">
        <v>48</v>
      </c>
      <c r="F171">
        <v>158</v>
      </c>
      <c r="G171">
        <v>74</v>
      </c>
      <c r="H171">
        <v>29.6</v>
      </c>
      <c r="I171">
        <v>129</v>
      </c>
      <c r="J171">
        <v>71</v>
      </c>
      <c r="K171">
        <v>70</v>
      </c>
      <c r="L171">
        <v>9.6999999999999993</v>
      </c>
    </row>
    <row r="172" spans="1:12" x14ac:dyDescent="0.35">
      <c r="A172" t="s">
        <v>16</v>
      </c>
      <c r="B172" t="s">
        <v>22</v>
      </c>
      <c r="C172" t="s">
        <v>23</v>
      </c>
      <c r="D172" t="s">
        <v>18</v>
      </c>
      <c r="E172">
        <v>29</v>
      </c>
      <c r="F172">
        <v>180</v>
      </c>
      <c r="G172">
        <v>71</v>
      </c>
      <c r="H172">
        <v>21.9</v>
      </c>
      <c r="I172">
        <v>146</v>
      </c>
      <c r="J172">
        <v>82</v>
      </c>
      <c r="K172">
        <v>70</v>
      </c>
      <c r="L172">
        <v>7.7</v>
      </c>
    </row>
    <row r="173" spans="1:12" x14ac:dyDescent="0.35">
      <c r="A173" t="s">
        <v>12</v>
      </c>
      <c r="B173" t="s">
        <v>17</v>
      </c>
      <c r="C173" t="s">
        <v>14</v>
      </c>
      <c r="D173" t="s">
        <v>18</v>
      </c>
      <c r="E173">
        <v>46</v>
      </c>
      <c r="F173">
        <v>186</v>
      </c>
      <c r="G173">
        <v>61</v>
      </c>
      <c r="H173">
        <v>17.600000000000001</v>
      </c>
      <c r="I173">
        <v>112</v>
      </c>
      <c r="J173">
        <v>93</v>
      </c>
      <c r="K173">
        <v>80</v>
      </c>
      <c r="L173">
        <v>9.5</v>
      </c>
    </row>
    <row r="174" spans="1:12" x14ac:dyDescent="0.35">
      <c r="A174" t="s">
        <v>12</v>
      </c>
      <c r="B174" t="s">
        <v>22</v>
      </c>
      <c r="C174" t="s">
        <v>14</v>
      </c>
      <c r="D174" t="s">
        <v>15</v>
      </c>
      <c r="E174">
        <v>38</v>
      </c>
      <c r="F174">
        <v>187</v>
      </c>
      <c r="G174">
        <v>58</v>
      </c>
      <c r="H174">
        <v>16.600000000000001</v>
      </c>
      <c r="I174">
        <v>142</v>
      </c>
      <c r="J174">
        <v>84</v>
      </c>
      <c r="K174">
        <v>75</v>
      </c>
      <c r="L174">
        <v>9.6999999999999993</v>
      </c>
    </row>
    <row r="175" spans="1:12" x14ac:dyDescent="0.35">
      <c r="A175" t="s">
        <v>16</v>
      </c>
      <c r="B175" t="s">
        <v>21</v>
      </c>
      <c r="C175" t="s">
        <v>14</v>
      </c>
      <c r="D175" t="s">
        <v>20</v>
      </c>
      <c r="E175">
        <v>50</v>
      </c>
      <c r="F175">
        <v>157</v>
      </c>
      <c r="G175">
        <v>83</v>
      </c>
      <c r="H175">
        <v>33.700000000000003</v>
      </c>
      <c r="I175">
        <v>118</v>
      </c>
      <c r="J175">
        <v>71</v>
      </c>
      <c r="K175">
        <v>61</v>
      </c>
      <c r="L175">
        <v>9.5</v>
      </c>
    </row>
    <row r="176" spans="1:12" x14ac:dyDescent="0.35">
      <c r="A176" t="s">
        <v>16</v>
      </c>
      <c r="B176" t="s">
        <v>25</v>
      </c>
      <c r="C176" t="s">
        <v>14</v>
      </c>
      <c r="D176" t="s">
        <v>26</v>
      </c>
      <c r="E176">
        <v>29</v>
      </c>
      <c r="F176">
        <v>163</v>
      </c>
      <c r="G176">
        <v>68</v>
      </c>
      <c r="H176">
        <v>25.6</v>
      </c>
      <c r="I176">
        <v>118</v>
      </c>
      <c r="J176">
        <v>76</v>
      </c>
      <c r="K176">
        <v>61</v>
      </c>
      <c r="L176">
        <v>8.8000000000000007</v>
      </c>
    </row>
    <row r="177" spans="1:12" x14ac:dyDescent="0.35">
      <c r="A177" t="s">
        <v>16</v>
      </c>
      <c r="B177" t="s">
        <v>13</v>
      </c>
      <c r="C177" t="s">
        <v>14</v>
      </c>
      <c r="D177" t="s">
        <v>18</v>
      </c>
      <c r="E177">
        <v>36</v>
      </c>
      <c r="F177">
        <v>162</v>
      </c>
      <c r="G177">
        <v>57</v>
      </c>
      <c r="H177">
        <v>21.7</v>
      </c>
      <c r="I177">
        <v>113</v>
      </c>
      <c r="J177">
        <v>72</v>
      </c>
      <c r="K177">
        <v>82</v>
      </c>
      <c r="L177">
        <v>8.6</v>
      </c>
    </row>
    <row r="178" spans="1:12" x14ac:dyDescent="0.35">
      <c r="A178" t="s">
        <v>12</v>
      </c>
      <c r="B178" t="s">
        <v>21</v>
      </c>
      <c r="C178" t="s">
        <v>14</v>
      </c>
      <c r="D178" t="s">
        <v>15</v>
      </c>
      <c r="E178">
        <v>48</v>
      </c>
      <c r="F178">
        <v>187</v>
      </c>
      <c r="G178">
        <v>78</v>
      </c>
      <c r="H178">
        <v>22.3</v>
      </c>
      <c r="I178">
        <v>144</v>
      </c>
      <c r="J178">
        <v>77</v>
      </c>
      <c r="K178">
        <v>67</v>
      </c>
      <c r="L178">
        <v>10</v>
      </c>
    </row>
    <row r="179" spans="1:12" x14ac:dyDescent="0.35">
      <c r="A179" t="s">
        <v>12</v>
      </c>
      <c r="B179" t="s">
        <v>22</v>
      </c>
      <c r="C179" t="s">
        <v>14</v>
      </c>
      <c r="D179" t="s">
        <v>15</v>
      </c>
      <c r="E179">
        <v>28</v>
      </c>
      <c r="F179">
        <v>160</v>
      </c>
      <c r="G179">
        <v>91</v>
      </c>
      <c r="H179">
        <v>35.5</v>
      </c>
      <c r="I179">
        <v>126</v>
      </c>
      <c r="J179">
        <v>92</v>
      </c>
      <c r="K179">
        <v>72</v>
      </c>
      <c r="L179">
        <v>8.1</v>
      </c>
    </row>
    <row r="180" spans="1:12" x14ac:dyDescent="0.35">
      <c r="A180" t="s">
        <v>12</v>
      </c>
      <c r="B180" t="s">
        <v>17</v>
      </c>
      <c r="C180" t="s">
        <v>19</v>
      </c>
      <c r="D180" t="s">
        <v>15</v>
      </c>
      <c r="E180">
        <v>24</v>
      </c>
      <c r="F180">
        <v>158</v>
      </c>
      <c r="G180">
        <v>70</v>
      </c>
      <c r="H180">
        <v>28</v>
      </c>
      <c r="I180">
        <v>143</v>
      </c>
      <c r="J180">
        <v>83</v>
      </c>
      <c r="K180">
        <v>69</v>
      </c>
      <c r="L180">
        <v>8.9</v>
      </c>
    </row>
    <row r="181" spans="1:12" x14ac:dyDescent="0.35">
      <c r="A181" t="s">
        <v>12</v>
      </c>
      <c r="B181" t="s">
        <v>24</v>
      </c>
      <c r="C181" t="s">
        <v>14</v>
      </c>
      <c r="D181" t="s">
        <v>26</v>
      </c>
      <c r="E181">
        <v>50</v>
      </c>
      <c r="F181">
        <v>167</v>
      </c>
      <c r="G181">
        <v>58</v>
      </c>
      <c r="H181">
        <v>20.8</v>
      </c>
      <c r="I181">
        <v>133</v>
      </c>
      <c r="J181">
        <v>93</v>
      </c>
      <c r="K181">
        <v>67</v>
      </c>
      <c r="L181">
        <v>9.1999999999999993</v>
      </c>
    </row>
    <row r="182" spans="1:12" x14ac:dyDescent="0.35">
      <c r="A182" t="s">
        <v>12</v>
      </c>
      <c r="B182" t="s">
        <v>22</v>
      </c>
      <c r="C182" t="s">
        <v>14</v>
      </c>
      <c r="D182" t="s">
        <v>18</v>
      </c>
      <c r="E182">
        <v>45</v>
      </c>
      <c r="F182">
        <v>156</v>
      </c>
      <c r="G182">
        <v>78</v>
      </c>
      <c r="H182">
        <v>32.1</v>
      </c>
      <c r="I182">
        <v>141</v>
      </c>
      <c r="J182">
        <v>92</v>
      </c>
      <c r="K182">
        <v>89</v>
      </c>
      <c r="L182">
        <v>9.3000000000000007</v>
      </c>
    </row>
    <row r="183" spans="1:12" x14ac:dyDescent="0.35">
      <c r="A183" t="s">
        <v>12</v>
      </c>
      <c r="B183" t="s">
        <v>17</v>
      </c>
      <c r="C183" t="s">
        <v>14</v>
      </c>
      <c r="D183" t="s">
        <v>20</v>
      </c>
      <c r="E183">
        <v>24</v>
      </c>
      <c r="F183">
        <v>159</v>
      </c>
      <c r="G183">
        <v>88</v>
      </c>
      <c r="H183">
        <v>34.799999999999997</v>
      </c>
      <c r="I183">
        <v>110</v>
      </c>
      <c r="J183">
        <v>91</v>
      </c>
      <c r="K183">
        <v>63</v>
      </c>
      <c r="L183">
        <v>8</v>
      </c>
    </row>
    <row r="184" spans="1:12" x14ac:dyDescent="0.35">
      <c r="A184" t="s">
        <v>16</v>
      </c>
      <c r="B184" t="s">
        <v>25</v>
      </c>
      <c r="C184" t="s">
        <v>14</v>
      </c>
      <c r="D184" t="s">
        <v>20</v>
      </c>
      <c r="E184">
        <v>41</v>
      </c>
      <c r="F184">
        <v>181</v>
      </c>
      <c r="G184">
        <v>84</v>
      </c>
      <c r="H184">
        <v>25.6</v>
      </c>
      <c r="I184">
        <v>117</v>
      </c>
      <c r="J184">
        <v>76</v>
      </c>
      <c r="K184">
        <v>74</v>
      </c>
      <c r="L184">
        <v>9.1</v>
      </c>
    </row>
    <row r="185" spans="1:12" x14ac:dyDescent="0.35">
      <c r="A185" t="s">
        <v>12</v>
      </c>
      <c r="B185" t="s">
        <v>22</v>
      </c>
      <c r="C185" t="s">
        <v>14</v>
      </c>
      <c r="D185" t="s">
        <v>15</v>
      </c>
      <c r="E185">
        <v>36</v>
      </c>
      <c r="F185">
        <v>186</v>
      </c>
      <c r="G185">
        <v>72</v>
      </c>
      <c r="H185">
        <v>20.8</v>
      </c>
      <c r="I185">
        <v>132</v>
      </c>
      <c r="J185">
        <v>90</v>
      </c>
      <c r="K185">
        <v>89</v>
      </c>
      <c r="L185">
        <v>9.5</v>
      </c>
    </row>
    <row r="186" spans="1:12" x14ac:dyDescent="0.35">
      <c r="A186" t="s">
        <v>12</v>
      </c>
      <c r="B186" t="s">
        <v>24</v>
      </c>
      <c r="C186" t="s">
        <v>14</v>
      </c>
      <c r="D186" t="s">
        <v>26</v>
      </c>
      <c r="E186">
        <v>46</v>
      </c>
      <c r="F186">
        <v>175</v>
      </c>
      <c r="G186">
        <v>73</v>
      </c>
      <c r="H186">
        <v>23.8</v>
      </c>
      <c r="I186">
        <v>149</v>
      </c>
      <c r="J186">
        <v>76</v>
      </c>
      <c r="K186">
        <v>60</v>
      </c>
      <c r="L186">
        <v>7.6</v>
      </c>
    </row>
    <row r="187" spans="1:12" x14ac:dyDescent="0.35">
      <c r="A187" t="s">
        <v>12</v>
      </c>
      <c r="B187" t="s">
        <v>17</v>
      </c>
      <c r="C187" t="s">
        <v>14</v>
      </c>
      <c r="D187" t="s">
        <v>26</v>
      </c>
      <c r="E187">
        <v>51</v>
      </c>
      <c r="F187">
        <v>162</v>
      </c>
      <c r="G187">
        <v>85</v>
      </c>
      <c r="H187">
        <v>32.4</v>
      </c>
      <c r="I187">
        <v>121</v>
      </c>
      <c r="J187">
        <v>70</v>
      </c>
      <c r="K187">
        <v>70</v>
      </c>
      <c r="L187">
        <v>9.8000000000000007</v>
      </c>
    </row>
    <row r="188" spans="1:12" x14ac:dyDescent="0.35">
      <c r="A188" t="s">
        <v>16</v>
      </c>
      <c r="B188" t="s">
        <v>17</v>
      </c>
      <c r="C188" t="s">
        <v>14</v>
      </c>
      <c r="D188" t="s">
        <v>26</v>
      </c>
      <c r="E188">
        <v>35</v>
      </c>
      <c r="F188">
        <v>162</v>
      </c>
      <c r="G188">
        <v>73</v>
      </c>
      <c r="H188">
        <v>27.8</v>
      </c>
      <c r="I188">
        <v>121</v>
      </c>
      <c r="J188">
        <v>86</v>
      </c>
      <c r="K188">
        <v>66</v>
      </c>
      <c r="L188">
        <v>7.6</v>
      </c>
    </row>
    <row r="189" spans="1:12" x14ac:dyDescent="0.35">
      <c r="A189" t="s">
        <v>12</v>
      </c>
      <c r="B189" t="s">
        <v>17</v>
      </c>
      <c r="C189" t="s">
        <v>14</v>
      </c>
      <c r="D189" t="s">
        <v>20</v>
      </c>
      <c r="E189">
        <v>28</v>
      </c>
      <c r="F189">
        <v>157</v>
      </c>
      <c r="G189">
        <v>73</v>
      </c>
      <c r="H189">
        <v>29.6</v>
      </c>
      <c r="I189">
        <v>124</v>
      </c>
      <c r="J189">
        <v>78</v>
      </c>
      <c r="K189">
        <v>76</v>
      </c>
      <c r="L189">
        <v>8.4</v>
      </c>
    </row>
    <row r="190" spans="1:12" x14ac:dyDescent="0.35">
      <c r="A190" t="s">
        <v>12</v>
      </c>
      <c r="B190" t="s">
        <v>25</v>
      </c>
      <c r="C190" t="s">
        <v>23</v>
      </c>
      <c r="D190" t="s">
        <v>15</v>
      </c>
      <c r="E190">
        <v>38</v>
      </c>
      <c r="F190">
        <v>157</v>
      </c>
      <c r="G190">
        <v>76</v>
      </c>
      <c r="H190">
        <v>30.8</v>
      </c>
      <c r="I190">
        <v>128</v>
      </c>
      <c r="J190">
        <v>90</v>
      </c>
      <c r="K190">
        <v>86</v>
      </c>
      <c r="L190">
        <v>7.5</v>
      </c>
    </row>
    <row r="191" spans="1:12" x14ac:dyDescent="0.35">
      <c r="A191" t="s">
        <v>16</v>
      </c>
      <c r="B191" t="s">
        <v>22</v>
      </c>
      <c r="C191" t="s">
        <v>14</v>
      </c>
      <c r="D191" t="s">
        <v>18</v>
      </c>
      <c r="E191">
        <v>41</v>
      </c>
      <c r="F191">
        <v>176</v>
      </c>
      <c r="G191">
        <v>78</v>
      </c>
      <c r="H191">
        <v>25.2</v>
      </c>
      <c r="I191">
        <v>135</v>
      </c>
      <c r="J191">
        <v>82</v>
      </c>
      <c r="K191">
        <v>79</v>
      </c>
      <c r="L191">
        <v>7.7</v>
      </c>
    </row>
    <row r="192" spans="1:12" x14ac:dyDescent="0.35">
      <c r="A192" t="s">
        <v>12</v>
      </c>
      <c r="B192" t="s">
        <v>25</v>
      </c>
      <c r="C192" t="s">
        <v>14</v>
      </c>
      <c r="D192" t="s">
        <v>20</v>
      </c>
      <c r="E192">
        <v>57</v>
      </c>
      <c r="F192">
        <v>160</v>
      </c>
      <c r="G192">
        <v>99</v>
      </c>
      <c r="H192">
        <v>38.700000000000003</v>
      </c>
      <c r="I192">
        <v>138</v>
      </c>
      <c r="J192">
        <v>90</v>
      </c>
      <c r="K192">
        <v>83</v>
      </c>
      <c r="L192">
        <v>9.8000000000000007</v>
      </c>
    </row>
    <row r="193" spans="1:12" x14ac:dyDescent="0.35">
      <c r="A193" t="s">
        <v>12</v>
      </c>
      <c r="B193" t="s">
        <v>13</v>
      </c>
      <c r="C193" t="s">
        <v>14</v>
      </c>
      <c r="D193" t="s">
        <v>15</v>
      </c>
      <c r="E193">
        <v>30</v>
      </c>
      <c r="F193">
        <v>156</v>
      </c>
      <c r="G193">
        <v>66</v>
      </c>
      <c r="H193">
        <v>27.1</v>
      </c>
      <c r="I193">
        <v>131</v>
      </c>
      <c r="J193">
        <v>88</v>
      </c>
      <c r="K193">
        <v>77</v>
      </c>
      <c r="L193">
        <v>8.4</v>
      </c>
    </row>
    <row r="194" spans="1:12" x14ac:dyDescent="0.35">
      <c r="A194" t="s">
        <v>12</v>
      </c>
      <c r="B194" t="s">
        <v>13</v>
      </c>
      <c r="C194" t="s">
        <v>19</v>
      </c>
      <c r="D194" t="s">
        <v>15</v>
      </c>
      <c r="E194">
        <v>59</v>
      </c>
      <c r="F194">
        <v>177</v>
      </c>
      <c r="G194">
        <v>84</v>
      </c>
      <c r="H194">
        <v>26.8</v>
      </c>
      <c r="I194">
        <v>149</v>
      </c>
      <c r="J194">
        <v>90</v>
      </c>
      <c r="K194">
        <v>81</v>
      </c>
      <c r="L194">
        <v>8.6</v>
      </c>
    </row>
    <row r="195" spans="1:12" x14ac:dyDescent="0.35">
      <c r="A195" t="s">
        <v>12</v>
      </c>
      <c r="B195" t="s">
        <v>22</v>
      </c>
      <c r="C195" t="s">
        <v>14</v>
      </c>
      <c r="D195" t="s">
        <v>18</v>
      </c>
      <c r="E195">
        <v>43</v>
      </c>
      <c r="F195">
        <v>156</v>
      </c>
      <c r="G195">
        <v>92</v>
      </c>
      <c r="H195">
        <v>37.799999999999997</v>
      </c>
      <c r="I195">
        <v>130</v>
      </c>
      <c r="J195">
        <v>88</v>
      </c>
      <c r="K195">
        <v>88</v>
      </c>
      <c r="L195">
        <v>8</v>
      </c>
    </row>
    <row r="196" spans="1:12" x14ac:dyDescent="0.35">
      <c r="A196" t="s">
        <v>12</v>
      </c>
      <c r="B196" t="s">
        <v>25</v>
      </c>
      <c r="C196" t="s">
        <v>14</v>
      </c>
      <c r="D196" t="s">
        <v>18</v>
      </c>
      <c r="E196">
        <v>23</v>
      </c>
      <c r="F196">
        <v>171</v>
      </c>
      <c r="G196">
        <v>85</v>
      </c>
      <c r="H196">
        <v>29.1</v>
      </c>
      <c r="I196">
        <v>147</v>
      </c>
      <c r="J196">
        <v>94</v>
      </c>
      <c r="K196">
        <v>81</v>
      </c>
      <c r="L196">
        <v>9</v>
      </c>
    </row>
    <row r="197" spans="1:12" x14ac:dyDescent="0.35">
      <c r="A197" t="s">
        <v>16</v>
      </c>
      <c r="B197" t="s">
        <v>24</v>
      </c>
      <c r="C197" t="s">
        <v>19</v>
      </c>
      <c r="D197" t="s">
        <v>18</v>
      </c>
      <c r="E197">
        <v>45</v>
      </c>
      <c r="F197">
        <v>189</v>
      </c>
      <c r="G197">
        <v>90</v>
      </c>
      <c r="H197">
        <v>25.2</v>
      </c>
      <c r="I197">
        <v>129</v>
      </c>
      <c r="J197">
        <v>94</v>
      </c>
      <c r="K197">
        <v>71</v>
      </c>
      <c r="L197">
        <v>9</v>
      </c>
    </row>
    <row r="198" spans="1:12" x14ac:dyDescent="0.35">
      <c r="A198" t="s">
        <v>16</v>
      </c>
      <c r="B198" t="s">
        <v>17</v>
      </c>
      <c r="C198" t="s">
        <v>23</v>
      </c>
      <c r="D198" t="s">
        <v>26</v>
      </c>
      <c r="E198">
        <v>29</v>
      </c>
      <c r="F198">
        <v>188</v>
      </c>
      <c r="G198">
        <v>73</v>
      </c>
      <c r="H198">
        <v>20.7</v>
      </c>
      <c r="I198">
        <v>138</v>
      </c>
      <c r="J198">
        <v>91</v>
      </c>
      <c r="K198">
        <v>68</v>
      </c>
      <c r="L198">
        <v>8.4</v>
      </c>
    </row>
    <row r="199" spans="1:12" x14ac:dyDescent="0.35">
      <c r="A199" t="s">
        <v>16</v>
      </c>
      <c r="B199" t="s">
        <v>17</v>
      </c>
      <c r="C199" t="s">
        <v>23</v>
      </c>
      <c r="D199" t="s">
        <v>18</v>
      </c>
      <c r="E199">
        <v>32</v>
      </c>
      <c r="F199">
        <v>177</v>
      </c>
      <c r="G199">
        <v>99</v>
      </c>
      <c r="H199">
        <v>31.6</v>
      </c>
      <c r="I199">
        <v>113</v>
      </c>
      <c r="J199">
        <v>86</v>
      </c>
      <c r="K199">
        <v>64</v>
      </c>
      <c r="L199">
        <v>8.3000000000000007</v>
      </c>
    </row>
    <row r="200" spans="1:12" x14ac:dyDescent="0.35">
      <c r="A200" t="s">
        <v>12</v>
      </c>
      <c r="B200" t="s">
        <v>22</v>
      </c>
      <c r="C200" t="s">
        <v>14</v>
      </c>
      <c r="D200" t="s">
        <v>15</v>
      </c>
      <c r="E200">
        <v>34</v>
      </c>
      <c r="F200">
        <v>184</v>
      </c>
      <c r="G200">
        <v>90</v>
      </c>
      <c r="H200">
        <v>26.6</v>
      </c>
      <c r="I200">
        <v>116</v>
      </c>
      <c r="J200">
        <v>92</v>
      </c>
      <c r="K200">
        <v>69</v>
      </c>
      <c r="L200">
        <v>9.6999999999999993</v>
      </c>
    </row>
    <row r="201" spans="1:12" x14ac:dyDescent="0.35">
      <c r="A201" t="s">
        <v>12</v>
      </c>
      <c r="B201" t="s">
        <v>13</v>
      </c>
      <c r="C201" t="s">
        <v>14</v>
      </c>
      <c r="D201" t="s">
        <v>18</v>
      </c>
      <c r="E201">
        <v>38</v>
      </c>
      <c r="F201">
        <v>162</v>
      </c>
      <c r="G201">
        <v>84</v>
      </c>
      <c r="H201">
        <v>32</v>
      </c>
      <c r="I201">
        <v>137</v>
      </c>
      <c r="J201">
        <v>92</v>
      </c>
      <c r="K201">
        <v>63</v>
      </c>
      <c r="L201">
        <v>8.5</v>
      </c>
    </row>
    <row r="202" spans="1:12" x14ac:dyDescent="0.35">
      <c r="A202" t="s">
        <v>12</v>
      </c>
      <c r="B202" t="s">
        <v>13</v>
      </c>
      <c r="C202" t="s">
        <v>14</v>
      </c>
      <c r="D202" t="s">
        <v>15</v>
      </c>
      <c r="E202">
        <v>29</v>
      </c>
      <c r="F202">
        <v>176</v>
      </c>
      <c r="G202">
        <v>87</v>
      </c>
      <c r="H202">
        <v>28.1</v>
      </c>
      <c r="I202">
        <v>137</v>
      </c>
      <c r="J202">
        <v>79</v>
      </c>
      <c r="K202">
        <v>64</v>
      </c>
      <c r="L202">
        <v>8.6999999999999993</v>
      </c>
    </row>
    <row r="203" spans="1:12" x14ac:dyDescent="0.35">
      <c r="A203" t="s">
        <v>16</v>
      </c>
      <c r="B203" t="s">
        <v>17</v>
      </c>
      <c r="C203" t="s">
        <v>19</v>
      </c>
      <c r="D203" t="s">
        <v>20</v>
      </c>
      <c r="E203">
        <v>42</v>
      </c>
      <c r="F203">
        <v>159</v>
      </c>
      <c r="G203">
        <v>72</v>
      </c>
      <c r="H203">
        <v>28.5</v>
      </c>
      <c r="I203">
        <v>113</v>
      </c>
      <c r="J203">
        <v>79</v>
      </c>
      <c r="K203">
        <v>87</v>
      </c>
      <c r="L203">
        <v>8.1999999999999993</v>
      </c>
    </row>
    <row r="204" spans="1:12" x14ac:dyDescent="0.35">
      <c r="A204" t="s">
        <v>12</v>
      </c>
      <c r="B204" t="s">
        <v>22</v>
      </c>
      <c r="C204" t="s">
        <v>14</v>
      </c>
      <c r="D204" t="s">
        <v>26</v>
      </c>
      <c r="E204">
        <v>39</v>
      </c>
      <c r="F204">
        <v>167</v>
      </c>
      <c r="G204">
        <v>82</v>
      </c>
      <c r="H204">
        <v>29.4</v>
      </c>
      <c r="I204">
        <v>131</v>
      </c>
      <c r="J204">
        <v>73</v>
      </c>
      <c r="K204">
        <v>87</v>
      </c>
      <c r="L204">
        <v>9.5</v>
      </c>
    </row>
    <row r="205" spans="1:12" x14ac:dyDescent="0.35">
      <c r="A205" t="s">
        <v>12</v>
      </c>
      <c r="B205" t="s">
        <v>25</v>
      </c>
      <c r="C205" t="s">
        <v>14</v>
      </c>
      <c r="D205" t="s">
        <v>20</v>
      </c>
      <c r="E205">
        <v>51</v>
      </c>
      <c r="F205">
        <v>183</v>
      </c>
      <c r="G205">
        <v>65</v>
      </c>
      <c r="H205">
        <v>19.399999999999999</v>
      </c>
      <c r="I205">
        <v>121</v>
      </c>
      <c r="J205">
        <v>77</v>
      </c>
      <c r="K205">
        <v>69</v>
      </c>
      <c r="L205">
        <v>8.5</v>
      </c>
    </row>
    <row r="206" spans="1:12" x14ac:dyDescent="0.35">
      <c r="A206" t="s">
        <v>16</v>
      </c>
      <c r="B206" t="s">
        <v>13</v>
      </c>
      <c r="C206" t="s">
        <v>14</v>
      </c>
      <c r="D206" t="s">
        <v>20</v>
      </c>
      <c r="E206">
        <v>39</v>
      </c>
      <c r="F206">
        <v>185</v>
      </c>
      <c r="G206">
        <v>99</v>
      </c>
      <c r="H206">
        <v>28.9</v>
      </c>
      <c r="I206">
        <v>112</v>
      </c>
      <c r="J206">
        <v>91</v>
      </c>
      <c r="K206">
        <v>70</v>
      </c>
      <c r="L206">
        <v>8.8000000000000007</v>
      </c>
    </row>
    <row r="207" spans="1:12" x14ac:dyDescent="0.35">
      <c r="A207" t="s">
        <v>12</v>
      </c>
      <c r="B207" t="s">
        <v>25</v>
      </c>
      <c r="C207" t="s">
        <v>23</v>
      </c>
      <c r="D207" t="s">
        <v>15</v>
      </c>
      <c r="E207">
        <v>52</v>
      </c>
      <c r="F207">
        <v>170</v>
      </c>
      <c r="G207">
        <v>87</v>
      </c>
      <c r="H207">
        <v>30.1</v>
      </c>
      <c r="I207">
        <v>131</v>
      </c>
      <c r="J207">
        <v>89</v>
      </c>
      <c r="K207">
        <v>80</v>
      </c>
      <c r="L207">
        <v>8.1</v>
      </c>
    </row>
    <row r="208" spans="1:12" x14ac:dyDescent="0.35">
      <c r="A208" t="s">
        <v>16</v>
      </c>
      <c r="B208" t="s">
        <v>13</v>
      </c>
      <c r="C208" t="s">
        <v>14</v>
      </c>
      <c r="D208" t="s">
        <v>20</v>
      </c>
      <c r="E208">
        <v>59</v>
      </c>
      <c r="F208">
        <v>184</v>
      </c>
      <c r="G208">
        <v>71</v>
      </c>
      <c r="H208">
        <v>21</v>
      </c>
      <c r="I208">
        <v>111</v>
      </c>
      <c r="J208">
        <v>89</v>
      </c>
      <c r="K208">
        <v>83</v>
      </c>
      <c r="L208">
        <v>10</v>
      </c>
    </row>
    <row r="209" spans="1:12" x14ac:dyDescent="0.35">
      <c r="A209" t="s">
        <v>16</v>
      </c>
      <c r="B209" t="s">
        <v>13</v>
      </c>
      <c r="C209" t="s">
        <v>14</v>
      </c>
      <c r="D209" t="s">
        <v>15</v>
      </c>
      <c r="E209">
        <v>53</v>
      </c>
      <c r="F209">
        <v>170</v>
      </c>
      <c r="G209">
        <v>60</v>
      </c>
      <c r="H209">
        <v>20.8</v>
      </c>
      <c r="I209">
        <v>133</v>
      </c>
      <c r="J209">
        <v>87</v>
      </c>
      <c r="K209">
        <v>69</v>
      </c>
      <c r="L209">
        <v>8.1999999999999993</v>
      </c>
    </row>
    <row r="210" spans="1:12" x14ac:dyDescent="0.35">
      <c r="A210" t="s">
        <v>16</v>
      </c>
      <c r="B210" t="s">
        <v>21</v>
      </c>
      <c r="C210" t="s">
        <v>14</v>
      </c>
      <c r="D210" t="s">
        <v>18</v>
      </c>
      <c r="E210">
        <v>32</v>
      </c>
      <c r="F210">
        <v>166</v>
      </c>
      <c r="G210">
        <v>58</v>
      </c>
      <c r="H210">
        <v>21</v>
      </c>
      <c r="I210">
        <v>143</v>
      </c>
      <c r="J210">
        <v>83</v>
      </c>
      <c r="K210">
        <v>87</v>
      </c>
      <c r="L210">
        <v>9.4</v>
      </c>
    </row>
    <row r="211" spans="1:12" x14ac:dyDescent="0.35">
      <c r="A211" t="s">
        <v>12</v>
      </c>
      <c r="B211" t="s">
        <v>13</v>
      </c>
      <c r="C211" t="s">
        <v>14</v>
      </c>
      <c r="D211" t="s">
        <v>18</v>
      </c>
      <c r="E211">
        <v>46</v>
      </c>
      <c r="F211">
        <v>171</v>
      </c>
      <c r="G211">
        <v>74</v>
      </c>
      <c r="H211">
        <v>25.3</v>
      </c>
      <c r="I211">
        <v>136</v>
      </c>
      <c r="J211">
        <v>87</v>
      </c>
      <c r="K211">
        <v>67</v>
      </c>
      <c r="L211">
        <v>8.6</v>
      </c>
    </row>
    <row r="212" spans="1:12" x14ac:dyDescent="0.35">
      <c r="A212" t="s">
        <v>12</v>
      </c>
      <c r="B212" t="s">
        <v>24</v>
      </c>
      <c r="C212" t="s">
        <v>14</v>
      </c>
      <c r="D212" t="s">
        <v>15</v>
      </c>
      <c r="E212">
        <v>54</v>
      </c>
      <c r="F212">
        <v>170</v>
      </c>
      <c r="G212">
        <v>81</v>
      </c>
      <c r="H212">
        <v>28</v>
      </c>
      <c r="I212">
        <v>110</v>
      </c>
      <c r="J212">
        <v>83</v>
      </c>
      <c r="K212">
        <v>61</v>
      </c>
      <c r="L212">
        <v>8</v>
      </c>
    </row>
    <row r="213" spans="1:12" x14ac:dyDescent="0.35">
      <c r="A213" t="s">
        <v>12</v>
      </c>
      <c r="B213" t="s">
        <v>22</v>
      </c>
      <c r="C213" t="s">
        <v>14</v>
      </c>
      <c r="D213" t="s">
        <v>18</v>
      </c>
      <c r="E213">
        <v>59</v>
      </c>
      <c r="F213">
        <v>166</v>
      </c>
      <c r="G213">
        <v>69</v>
      </c>
      <c r="H213">
        <v>25</v>
      </c>
      <c r="I213">
        <v>117</v>
      </c>
      <c r="J213">
        <v>89</v>
      </c>
      <c r="K213">
        <v>82</v>
      </c>
      <c r="L213">
        <v>9.5</v>
      </c>
    </row>
    <row r="214" spans="1:12" x14ac:dyDescent="0.35">
      <c r="A214" t="s">
        <v>12</v>
      </c>
      <c r="B214" t="s">
        <v>22</v>
      </c>
      <c r="C214" t="s">
        <v>14</v>
      </c>
      <c r="D214" t="s">
        <v>26</v>
      </c>
      <c r="E214">
        <v>29</v>
      </c>
      <c r="F214">
        <v>162</v>
      </c>
      <c r="G214">
        <v>60</v>
      </c>
      <c r="H214">
        <v>22.9</v>
      </c>
      <c r="I214">
        <v>132</v>
      </c>
      <c r="J214">
        <v>90</v>
      </c>
      <c r="K214">
        <v>67</v>
      </c>
      <c r="L214">
        <v>8.3000000000000007</v>
      </c>
    </row>
    <row r="215" spans="1:12" x14ac:dyDescent="0.35">
      <c r="A215" t="s">
        <v>12</v>
      </c>
      <c r="B215" t="s">
        <v>25</v>
      </c>
      <c r="C215" t="s">
        <v>14</v>
      </c>
      <c r="D215" t="s">
        <v>20</v>
      </c>
      <c r="E215">
        <v>32</v>
      </c>
      <c r="F215">
        <v>174</v>
      </c>
      <c r="G215">
        <v>68</v>
      </c>
      <c r="H215">
        <v>22.5</v>
      </c>
      <c r="I215">
        <v>147</v>
      </c>
      <c r="J215">
        <v>93</v>
      </c>
      <c r="K215">
        <v>75</v>
      </c>
      <c r="L215">
        <v>9.6999999999999993</v>
      </c>
    </row>
    <row r="216" spans="1:12" x14ac:dyDescent="0.35">
      <c r="A216" t="s">
        <v>12</v>
      </c>
      <c r="B216" t="s">
        <v>13</v>
      </c>
      <c r="C216" t="s">
        <v>14</v>
      </c>
      <c r="D216" t="s">
        <v>26</v>
      </c>
      <c r="E216">
        <v>43</v>
      </c>
      <c r="F216">
        <v>157</v>
      </c>
      <c r="G216">
        <v>65</v>
      </c>
      <c r="H216">
        <v>26.4</v>
      </c>
      <c r="I216">
        <v>115</v>
      </c>
      <c r="J216">
        <v>84</v>
      </c>
      <c r="K216">
        <v>86</v>
      </c>
      <c r="L216">
        <v>9.8000000000000007</v>
      </c>
    </row>
    <row r="217" spans="1:12" x14ac:dyDescent="0.35">
      <c r="A217" t="s">
        <v>12</v>
      </c>
      <c r="B217" t="s">
        <v>24</v>
      </c>
      <c r="C217" t="s">
        <v>14</v>
      </c>
      <c r="D217" t="s">
        <v>20</v>
      </c>
      <c r="E217">
        <v>45</v>
      </c>
      <c r="F217">
        <v>170</v>
      </c>
      <c r="G217">
        <v>93</v>
      </c>
      <c r="H217">
        <v>32.200000000000003</v>
      </c>
      <c r="I217">
        <v>131</v>
      </c>
      <c r="J217">
        <v>91</v>
      </c>
      <c r="K217">
        <v>81</v>
      </c>
      <c r="L217">
        <v>9.6</v>
      </c>
    </row>
    <row r="218" spans="1:12" x14ac:dyDescent="0.35">
      <c r="A218" t="s">
        <v>16</v>
      </c>
      <c r="B218" t="s">
        <v>25</v>
      </c>
      <c r="C218" t="s">
        <v>14</v>
      </c>
      <c r="D218" t="s">
        <v>18</v>
      </c>
      <c r="E218">
        <v>38</v>
      </c>
      <c r="F218">
        <v>184</v>
      </c>
      <c r="G218">
        <v>63</v>
      </c>
      <c r="H218">
        <v>18.600000000000001</v>
      </c>
      <c r="I218">
        <v>134</v>
      </c>
      <c r="J218">
        <v>73</v>
      </c>
      <c r="K218">
        <v>64</v>
      </c>
      <c r="L218">
        <v>7.6</v>
      </c>
    </row>
    <row r="219" spans="1:12" x14ac:dyDescent="0.35">
      <c r="A219" t="s">
        <v>12</v>
      </c>
      <c r="B219" t="s">
        <v>21</v>
      </c>
      <c r="C219" t="s">
        <v>14</v>
      </c>
      <c r="D219" t="s">
        <v>26</v>
      </c>
      <c r="E219">
        <v>33</v>
      </c>
      <c r="F219">
        <v>177</v>
      </c>
      <c r="G219">
        <v>80</v>
      </c>
      <c r="H219">
        <v>25.5</v>
      </c>
      <c r="I219">
        <v>127</v>
      </c>
      <c r="J219">
        <v>82</v>
      </c>
      <c r="K219">
        <v>86</v>
      </c>
      <c r="L219">
        <v>9.5</v>
      </c>
    </row>
    <row r="220" spans="1:12" x14ac:dyDescent="0.35">
      <c r="A220" t="s">
        <v>16</v>
      </c>
      <c r="B220" t="s">
        <v>25</v>
      </c>
      <c r="C220" t="s">
        <v>14</v>
      </c>
      <c r="D220" t="s">
        <v>18</v>
      </c>
      <c r="E220">
        <v>53</v>
      </c>
      <c r="F220">
        <v>182</v>
      </c>
      <c r="G220">
        <v>70</v>
      </c>
      <c r="H220">
        <v>21.1</v>
      </c>
      <c r="I220">
        <v>126</v>
      </c>
      <c r="J220">
        <v>92</v>
      </c>
      <c r="K220">
        <v>84</v>
      </c>
      <c r="L220">
        <v>8.5</v>
      </c>
    </row>
    <row r="221" spans="1:12" x14ac:dyDescent="0.35">
      <c r="A221" t="s">
        <v>12</v>
      </c>
      <c r="B221" t="s">
        <v>25</v>
      </c>
      <c r="C221" t="s">
        <v>14</v>
      </c>
      <c r="D221" t="s">
        <v>20</v>
      </c>
      <c r="E221">
        <v>36</v>
      </c>
      <c r="F221">
        <v>159</v>
      </c>
      <c r="G221">
        <v>59</v>
      </c>
      <c r="H221">
        <v>23.3</v>
      </c>
      <c r="I221">
        <v>121</v>
      </c>
      <c r="J221">
        <v>77</v>
      </c>
      <c r="K221">
        <v>88</v>
      </c>
      <c r="L221">
        <v>9.6999999999999993</v>
      </c>
    </row>
    <row r="222" spans="1:12" x14ac:dyDescent="0.35">
      <c r="A222" t="s">
        <v>12</v>
      </c>
      <c r="B222" t="s">
        <v>13</v>
      </c>
      <c r="C222" t="s">
        <v>14</v>
      </c>
      <c r="D222" t="s">
        <v>15</v>
      </c>
      <c r="E222">
        <v>37</v>
      </c>
      <c r="F222">
        <v>174</v>
      </c>
      <c r="G222">
        <v>64</v>
      </c>
      <c r="H222">
        <v>21.1</v>
      </c>
      <c r="I222">
        <v>115</v>
      </c>
      <c r="J222">
        <v>87</v>
      </c>
      <c r="K222">
        <v>62</v>
      </c>
      <c r="L222">
        <v>9.1</v>
      </c>
    </row>
    <row r="223" spans="1:12" x14ac:dyDescent="0.35">
      <c r="A223" t="s">
        <v>12</v>
      </c>
      <c r="B223" t="s">
        <v>21</v>
      </c>
      <c r="C223" t="s">
        <v>14</v>
      </c>
      <c r="D223" t="s">
        <v>15</v>
      </c>
      <c r="E223">
        <v>43</v>
      </c>
      <c r="F223">
        <v>155</v>
      </c>
      <c r="G223">
        <v>57</v>
      </c>
      <c r="H223">
        <v>23.7</v>
      </c>
      <c r="I223">
        <v>135</v>
      </c>
      <c r="J223">
        <v>81</v>
      </c>
      <c r="K223">
        <v>71</v>
      </c>
      <c r="L223">
        <v>9.6</v>
      </c>
    </row>
    <row r="224" spans="1:12" x14ac:dyDescent="0.35">
      <c r="A224" t="s">
        <v>16</v>
      </c>
      <c r="B224" t="s">
        <v>25</v>
      </c>
      <c r="C224" t="s">
        <v>19</v>
      </c>
      <c r="D224" t="s">
        <v>26</v>
      </c>
      <c r="E224">
        <v>49</v>
      </c>
      <c r="F224">
        <v>184</v>
      </c>
      <c r="G224">
        <v>67</v>
      </c>
      <c r="H224">
        <v>19.8</v>
      </c>
      <c r="I224">
        <v>136</v>
      </c>
      <c r="J224">
        <v>92</v>
      </c>
      <c r="K224">
        <v>72</v>
      </c>
      <c r="L224">
        <v>8.6999999999999993</v>
      </c>
    </row>
    <row r="225" spans="1:12" x14ac:dyDescent="0.35">
      <c r="A225" t="s">
        <v>16</v>
      </c>
      <c r="B225" t="s">
        <v>24</v>
      </c>
      <c r="C225" t="s">
        <v>14</v>
      </c>
      <c r="D225" t="s">
        <v>18</v>
      </c>
      <c r="E225">
        <v>41</v>
      </c>
      <c r="F225">
        <v>175</v>
      </c>
      <c r="G225">
        <v>97</v>
      </c>
      <c r="H225">
        <v>31.7</v>
      </c>
      <c r="I225">
        <v>117</v>
      </c>
      <c r="J225">
        <v>83</v>
      </c>
      <c r="K225">
        <v>72</v>
      </c>
      <c r="L225">
        <v>8.8000000000000007</v>
      </c>
    </row>
    <row r="226" spans="1:12" x14ac:dyDescent="0.35">
      <c r="A226" t="s">
        <v>16</v>
      </c>
      <c r="B226" t="s">
        <v>24</v>
      </c>
      <c r="C226" t="s">
        <v>23</v>
      </c>
      <c r="D226" t="s">
        <v>18</v>
      </c>
      <c r="E226">
        <v>54</v>
      </c>
      <c r="F226">
        <v>174</v>
      </c>
      <c r="G226">
        <v>84</v>
      </c>
      <c r="H226">
        <v>27.7</v>
      </c>
      <c r="I226">
        <v>128</v>
      </c>
      <c r="J226">
        <v>71</v>
      </c>
      <c r="K226">
        <v>69</v>
      </c>
      <c r="L226">
        <v>7.9</v>
      </c>
    </row>
    <row r="227" spans="1:12" x14ac:dyDescent="0.35">
      <c r="A227" t="s">
        <v>16</v>
      </c>
      <c r="B227" t="s">
        <v>22</v>
      </c>
      <c r="C227" t="s">
        <v>14</v>
      </c>
      <c r="D227" t="s">
        <v>26</v>
      </c>
      <c r="E227">
        <v>31</v>
      </c>
      <c r="F227">
        <v>160</v>
      </c>
      <c r="G227">
        <v>99</v>
      </c>
      <c r="H227">
        <v>38.700000000000003</v>
      </c>
      <c r="I227">
        <v>110</v>
      </c>
      <c r="J227">
        <v>87</v>
      </c>
      <c r="K227">
        <v>63</v>
      </c>
      <c r="L227">
        <v>9.5</v>
      </c>
    </row>
    <row r="228" spans="1:12" x14ac:dyDescent="0.35">
      <c r="A228" t="s">
        <v>12</v>
      </c>
      <c r="B228" t="s">
        <v>21</v>
      </c>
      <c r="C228" t="s">
        <v>14</v>
      </c>
      <c r="D228" t="s">
        <v>15</v>
      </c>
      <c r="E228">
        <v>53</v>
      </c>
      <c r="F228">
        <v>176</v>
      </c>
      <c r="G228">
        <v>60</v>
      </c>
      <c r="H228">
        <v>19.399999999999999</v>
      </c>
      <c r="I228">
        <v>138</v>
      </c>
      <c r="J228">
        <v>93</v>
      </c>
      <c r="K228">
        <v>68</v>
      </c>
      <c r="L228">
        <v>8.5</v>
      </c>
    </row>
    <row r="229" spans="1:12" x14ac:dyDescent="0.35">
      <c r="A229" t="s">
        <v>16</v>
      </c>
      <c r="B229" t="s">
        <v>21</v>
      </c>
      <c r="C229" t="s">
        <v>23</v>
      </c>
      <c r="D229" t="s">
        <v>20</v>
      </c>
      <c r="E229">
        <v>54</v>
      </c>
      <c r="F229">
        <v>172</v>
      </c>
      <c r="G229">
        <v>71</v>
      </c>
      <c r="H229">
        <v>24</v>
      </c>
      <c r="I229">
        <v>144</v>
      </c>
      <c r="J229">
        <v>71</v>
      </c>
      <c r="K229">
        <v>81</v>
      </c>
      <c r="L229">
        <v>8.8000000000000007</v>
      </c>
    </row>
    <row r="230" spans="1:12" x14ac:dyDescent="0.35">
      <c r="A230" t="s">
        <v>12</v>
      </c>
      <c r="B230" t="s">
        <v>22</v>
      </c>
      <c r="C230" t="s">
        <v>14</v>
      </c>
      <c r="D230" t="s">
        <v>26</v>
      </c>
      <c r="E230">
        <v>23</v>
      </c>
      <c r="F230">
        <v>162</v>
      </c>
      <c r="G230">
        <v>99</v>
      </c>
      <c r="H230">
        <v>37.700000000000003</v>
      </c>
      <c r="I230">
        <v>149</v>
      </c>
      <c r="J230">
        <v>80</v>
      </c>
      <c r="K230">
        <v>83</v>
      </c>
      <c r="L230">
        <v>9.5</v>
      </c>
    </row>
    <row r="231" spans="1:12" x14ac:dyDescent="0.35">
      <c r="A231" t="s">
        <v>12</v>
      </c>
      <c r="B231" t="s">
        <v>25</v>
      </c>
      <c r="C231" t="s">
        <v>14</v>
      </c>
      <c r="D231" t="s">
        <v>20</v>
      </c>
      <c r="E231">
        <v>54</v>
      </c>
      <c r="F231">
        <v>186</v>
      </c>
      <c r="G231">
        <v>73</v>
      </c>
      <c r="H231">
        <v>21.1</v>
      </c>
      <c r="I231">
        <v>123</v>
      </c>
      <c r="J231">
        <v>78</v>
      </c>
      <c r="K231">
        <v>82</v>
      </c>
      <c r="L231">
        <v>9</v>
      </c>
    </row>
    <row r="232" spans="1:12" x14ac:dyDescent="0.35">
      <c r="A232" t="s">
        <v>16</v>
      </c>
      <c r="B232" t="s">
        <v>21</v>
      </c>
      <c r="C232" t="s">
        <v>14</v>
      </c>
      <c r="D232" t="s">
        <v>15</v>
      </c>
      <c r="E232">
        <v>54</v>
      </c>
      <c r="F232">
        <v>187</v>
      </c>
      <c r="G232">
        <v>96</v>
      </c>
      <c r="H232">
        <v>27.5</v>
      </c>
      <c r="I232">
        <v>144</v>
      </c>
      <c r="J232">
        <v>81</v>
      </c>
      <c r="K232">
        <v>86</v>
      </c>
      <c r="L232">
        <v>8</v>
      </c>
    </row>
    <row r="233" spans="1:12" x14ac:dyDescent="0.35">
      <c r="A233" t="s">
        <v>16</v>
      </c>
      <c r="B233" t="s">
        <v>24</v>
      </c>
      <c r="C233" t="s">
        <v>14</v>
      </c>
      <c r="D233" t="s">
        <v>18</v>
      </c>
      <c r="E233">
        <v>34</v>
      </c>
      <c r="F233">
        <v>170</v>
      </c>
      <c r="G233">
        <v>89</v>
      </c>
      <c r="H233">
        <v>30.8</v>
      </c>
      <c r="I233">
        <v>129</v>
      </c>
      <c r="J233">
        <v>86</v>
      </c>
      <c r="K233">
        <v>61</v>
      </c>
      <c r="L233">
        <v>9</v>
      </c>
    </row>
    <row r="234" spans="1:12" x14ac:dyDescent="0.35">
      <c r="A234" t="s">
        <v>16</v>
      </c>
      <c r="B234" t="s">
        <v>24</v>
      </c>
      <c r="C234" t="s">
        <v>19</v>
      </c>
      <c r="D234" t="s">
        <v>15</v>
      </c>
      <c r="E234">
        <v>51</v>
      </c>
      <c r="F234">
        <v>166</v>
      </c>
      <c r="G234">
        <v>80</v>
      </c>
      <c r="H234">
        <v>29</v>
      </c>
      <c r="I234">
        <v>122</v>
      </c>
      <c r="J234">
        <v>84</v>
      </c>
      <c r="K234">
        <v>78</v>
      </c>
      <c r="L234">
        <v>8.5</v>
      </c>
    </row>
    <row r="235" spans="1:12" x14ac:dyDescent="0.35">
      <c r="A235" t="s">
        <v>16</v>
      </c>
      <c r="B235" t="s">
        <v>13</v>
      </c>
      <c r="C235" t="s">
        <v>23</v>
      </c>
      <c r="D235" t="s">
        <v>26</v>
      </c>
      <c r="E235">
        <v>54</v>
      </c>
      <c r="F235">
        <v>188</v>
      </c>
      <c r="G235">
        <v>59</v>
      </c>
      <c r="H235">
        <v>16.7</v>
      </c>
      <c r="I235">
        <v>147</v>
      </c>
      <c r="J235">
        <v>94</v>
      </c>
      <c r="K235">
        <v>60</v>
      </c>
      <c r="L235">
        <v>8.6999999999999993</v>
      </c>
    </row>
    <row r="236" spans="1:12" x14ac:dyDescent="0.35">
      <c r="A236" t="s">
        <v>16</v>
      </c>
      <c r="B236" t="s">
        <v>21</v>
      </c>
      <c r="C236" t="s">
        <v>19</v>
      </c>
      <c r="D236" t="s">
        <v>18</v>
      </c>
      <c r="E236">
        <v>34</v>
      </c>
      <c r="F236">
        <v>168</v>
      </c>
      <c r="G236">
        <v>83</v>
      </c>
      <c r="H236">
        <v>29.4</v>
      </c>
      <c r="I236">
        <v>117</v>
      </c>
      <c r="J236">
        <v>86</v>
      </c>
      <c r="K236">
        <v>84</v>
      </c>
      <c r="L236">
        <v>7.6</v>
      </c>
    </row>
    <row r="237" spans="1:12" x14ac:dyDescent="0.35">
      <c r="A237" t="s">
        <v>16</v>
      </c>
      <c r="B237" t="s">
        <v>25</v>
      </c>
      <c r="C237" t="s">
        <v>14</v>
      </c>
      <c r="D237" t="s">
        <v>26</v>
      </c>
      <c r="E237">
        <v>47</v>
      </c>
      <c r="F237">
        <v>187</v>
      </c>
      <c r="G237">
        <v>91</v>
      </c>
      <c r="H237">
        <v>26</v>
      </c>
      <c r="I237">
        <v>129</v>
      </c>
      <c r="J237">
        <v>87</v>
      </c>
      <c r="K237">
        <v>88</v>
      </c>
      <c r="L237">
        <v>8</v>
      </c>
    </row>
    <row r="238" spans="1:12" x14ac:dyDescent="0.35">
      <c r="A238" t="s">
        <v>16</v>
      </c>
      <c r="B238" t="s">
        <v>22</v>
      </c>
      <c r="C238" t="s">
        <v>23</v>
      </c>
      <c r="D238" t="s">
        <v>26</v>
      </c>
      <c r="E238">
        <v>43</v>
      </c>
      <c r="F238">
        <v>177</v>
      </c>
      <c r="G238">
        <v>74</v>
      </c>
      <c r="H238">
        <v>23.6</v>
      </c>
      <c r="I238">
        <v>142</v>
      </c>
      <c r="J238">
        <v>91</v>
      </c>
      <c r="K238">
        <v>66</v>
      </c>
      <c r="L238">
        <v>8.1999999999999993</v>
      </c>
    </row>
    <row r="239" spans="1:12" x14ac:dyDescent="0.35">
      <c r="A239" t="s">
        <v>16</v>
      </c>
      <c r="B239" t="s">
        <v>22</v>
      </c>
      <c r="C239" t="s">
        <v>19</v>
      </c>
      <c r="D239" t="s">
        <v>15</v>
      </c>
      <c r="E239">
        <v>23</v>
      </c>
      <c r="F239">
        <v>156</v>
      </c>
      <c r="G239">
        <v>75</v>
      </c>
      <c r="H239">
        <v>30.8</v>
      </c>
      <c r="I239">
        <v>135</v>
      </c>
      <c r="J239">
        <v>75</v>
      </c>
      <c r="K239">
        <v>76</v>
      </c>
      <c r="L239">
        <v>9.3000000000000007</v>
      </c>
    </row>
    <row r="240" spans="1:12" x14ac:dyDescent="0.35">
      <c r="A240" t="s">
        <v>12</v>
      </c>
      <c r="B240" t="s">
        <v>25</v>
      </c>
      <c r="C240" t="s">
        <v>14</v>
      </c>
      <c r="D240" t="s">
        <v>26</v>
      </c>
      <c r="E240">
        <v>59</v>
      </c>
      <c r="F240">
        <v>175</v>
      </c>
      <c r="G240">
        <v>64</v>
      </c>
      <c r="H240">
        <v>20.9</v>
      </c>
      <c r="I240">
        <v>148</v>
      </c>
      <c r="J240">
        <v>86</v>
      </c>
      <c r="K240">
        <v>62</v>
      </c>
      <c r="L240">
        <v>7.5</v>
      </c>
    </row>
    <row r="241" spans="1:12" x14ac:dyDescent="0.35">
      <c r="A241" t="s">
        <v>16</v>
      </c>
      <c r="B241" t="s">
        <v>17</v>
      </c>
      <c r="C241" t="s">
        <v>14</v>
      </c>
      <c r="D241" t="s">
        <v>15</v>
      </c>
      <c r="E241">
        <v>47</v>
      </c>
      <c r="F241">
        <v>156</v>
      </c>
      <c r="G241">
        <v>59</v>
      </c>
      <c r="H241">
        <v>24.2</v>
      </c>
      <c r="I241">
        <v>130</v>
      </c>
      <c r="J241">
        <v>92</v>
      </c>
      <c r="K241">
        <v>79</v>
      </c>
      <c r="L241">
        <v>8.5</v>
      </c>
    </row>
    <row r="242" spans="1:12" x14ac:dyDescent="0.35">
      <c r="A242" t="s">
        <v>16</v>
      </c>
      <c r="B242" t="s">
        <v>13</v>
      </c>
      <c r="C242" t="s">
        <v>23</v>
      </c>
      <c r="D242" t="s">
        <v>18</v>
      </c>
      <c r="E242">
        <v>36</v>
      </c>
      <c r="F242">
        <v>181</v>
      </c>
      <c r="G242">
        <v>90</v>
      </c>
      <c r="H242">
        <v>27.5</v>
      </c>
      <c r="I242">
        <v>118</v>
      </c>
      <c r="J242">
        <v>93</v>
      </c>
      <c r="K242">
        <v>79</v>
      </c>
      <c r="L242">
        <v>9.8000000000000007</v>
      </c>
    </row>
    <row r="243" spans="1:12" x14ac:dyDescent="0.35">
      <c r="A243" t="s">
        <v>12</v>
      </c>
      <c r="B243" t="s">
        <v>22</v>
      </c>
      <c r="C243" t="s">
        <v>14</v>
      </c>
      <c r="D243" t="s">
        <v>15</v>
      </c>
      <c r="E243">
        <v>55</v>
      </c>
      <c r="F243">
        <v>163</v>
      </c>
      <c r="G243">
        <v>60</v>
      </c>
      <c r="H243">
        <v>22.6</v>
      </c>
      <c r="I243">
        <v>133</v>
      </c>
      <c r="J243">
        <v>87</v>
      </c>
      <c r="K243">
        <v>80</v>
      </c>
      <c r="L243">
        <v>7.8</v>
      </c>
    </row>
    <row r="244" spans="1:12" x14ac:dyDescent="0.35">
      <c r="A244" t="s">
        <v>16</v>
      </c>
      <c r="B244" t="s">
        <v>21</v>
      </c>
      <c r="C244" t="s">
        <v>23</v>
      </c>
      <c r="D244" t="s">
        <v>18</v>
      </c>
      <c r="E244">
        <v>32</v>
      </c>
      <c r="F244">
        <v>155</v>
      </c>
      <c r="G244">
        <v>80</v>
      </c>
      <c r="H244">
        <v>33.299999999999997</v>
      </c>
      <c r="I244">
        <v>146</v>
      </c>
      <c r="J244">
        <v>77</v>
      </c>
      <c r="K244">
        <v>89</v>
      </c>
      <c r="L244">
        <v>8.8000000000000007</v>
      </c>
    </row>
    <row r="245" spans="1:12" x14ac:dyDescent="0.35">
      <c r="A245" t="s">
        <v>12</v>
      </c>
      <c r="B245" t="s">
        <v>13</v>
      </c>
      <c r="C245" t="s">
        <v>14</v>
      </c>
      <c r="D245" t="s">
        <v>15</v>
      </c>
      <c r="E245">
        <v>24</v>
      </c>
      <c r="F245">
        <v>165</v>
      </c>
      <c r="G245">
        <v>58</v>
      </c>
      <c r="H245">
        <v>21.3</v>
      </c>
      <c r="I245">
        <v>126</v>
      </c>
      <c r="J245">
        <v>78</v>
      </c>
      <c r="K245">
        <v>62</v>
      </c>
      <c r="L245">
        <v>9.5</v>
      </c>
    </row>
    <row r="246" spans="1:12" x14ac:dyDescent="0.35">
      <c r="A246" t="s">
        <v>12</v>
      </c>
      <c r="B246" t="s">
        <v>21</v>
      </c>
      <c r="C246" t="s">
        <v>23</v>
      </c>
      <c r="D246" t="s">
        <v>20</v>
      </c>
      <c r="E246">
        <v>27</v>
      </c>
      <c r="F246">
        <v>157</v>
      </c>
      <c r="G246">
        <v>93</v>
      </c>
      <c r="H246">
        <v>37.700000000000003</v>
      </c>
      <c r="I246">
        <v>133</v>
      </c>
      <c r="J246">
        <v>75</v>
      </c>
      <c r="K246">
        <v>62</v>
      </c>
      <c r="L246">
        <v>9.9</v>
      </c>
    </row>
    <row r="247" spans="1:12" x14ac:dyDescent="0.35">
      <c r="A247" t="s">
        <v>16</v>
      </c>
      <c r="B247" t="s">
        <v>24</v>
      </c>
      <c r="C247" t="s">
        <v>14</v>
      </c>
      <c r="D247" t="s">
        <v>20</v>
      </c>
      <c r="E247">
        <v>30</v>
      </c>
      <c r="F247">
        <v>177</v>
      </c>
      <c r="G247">
        <v>93</v>
      </c>
      <c r="H247">
        <v>29.7</v>
      </c>
      <c r="I247">
        <v>130</v>
      </c>
      <c r="J247">
        <v>74</v>
      </c>
      <c r="K247">
        <v>76</v>
      </c>
      <c r="L247">
        <v>9.4</v>
      </c>
    </row>
    <row r="248" spans="1:12" x14ac:dyDescent="0.35">
      <c r="A248" t="s">
        <v>12</v>
      </c>
      <c r="B248" t="s">
        <v>13</v>
      </c>
      <c r="C248" t="s">
        <v>14</v>
      </c>
      <c r="D248" t="s">
        <v>26</v>
      </c>
      <c r="E248">
        <v>27</v>
      </c>
      <c r="F248">
        <v>180</v>
      </c>
      <c r="G248">
        <v>89</v>
      </c>
      <c r="H248">
        <v>27.5</v>
      </c>
      <c r="I248">
        <v>148</v>
      </c>
      <c r="J248">
        <v>81</v>
      </c>
      <c r="K248">
        <v>66</v>
      </c>
      <c r="L248">
        <v>9.3000000000000007</v>
      </c>
    </row>
    <row r="249" spans="1:12" x14ac:dyDescent="0.35">
      <c r="A249" t="s">
        <v>12</v>
      </c>
      <c r="B249" t="s">
        <v>22</v>
      </c>
      <c r="C249" t="s">
        <v>14</v>
      </c>
      <c r="D249" t="s">
        <v>15</v>
      </c>
      <c r="E249">
        <v>30</v>
      </c>
      <c r="F249">
        <v>158</v>
      </c>
      <c r="G249">
        <v>55</v>
      </c>
      <c r="H249">
        <v>22</v>
      </c>
      <c r="I249">
        <v>148</v>
      </c>
      <c r="J249">
        <v>94</v>
      </c>
      <c r="K249">
        <v>86</v>
      </c>
      <c r="L249">
        <v>9.6</v>
      </c>
    </row>
    <row r="250" spans="1:12" x14ac:dyDescent="0.35">
      <c r="A250" t="s">
        <v>12</v>
      </c>
      <c r="B250" t="s">
        <v>13</v>
      </c>
      <c r="C250" t="s">
        <v>23</v>
      </c>
      <c r="D250" t="s">
        <v>15</v>
      </c>
      <c r="E250">
        <v>52</v>
      </c>
      <c r="F250">
        <v>172</v>
      </c>
      <c r="G250">
        <v>78</v>
      </c>
      <c r="H250">
        <v>26.4</v>
      </c>
      <c r="I250">
        <v>122</v>
      </c>
      <c r="J250">
        <v>80</v>
      </c>
      <c r="K250">
        <v>85</v>
      </c>
      <c r="L250">
        <v>8.6</v>
      </c>
    </row>
    <row r="251" spans="1:12" x14ac:dyDescent="0.35">
      <c r="A251" t="s">
        <v>12</v>
      </c>
      <c r="B251" t="s">
        <v>13</v>
      </c>
      <c r="C251" t="s">
        <v>14</v>
      </c>
      <c r="D251" t="s">
        <v>18</v>
      </c>
      <c r="E251">
        <v>53</v>
      </c>
      <c r="F251">
        <v>160</v>
      </c>
      <c r="G251">
        <v>90</v>
      </c>
      <c r="H251">
        <v>35.200000000000003</v>
      </c>
      <c r="I251">
        <v>120</v>
      </c>
      <c r="J251">
        <v>94</v>
      </c>
      <c r="K251">
        <v>73</v>
      </c>
      <c r="L251">
        <v>9.5</v>
      </c>
    </row>
    <row r="252" spans="1:12" x14ac:dyDescent="0.35">
      <c r="A252" t="s">
        <v>16</v>
      </c>
      <c r="B252" t="s">
        <v>13</v>
      </c>
      <c r="C252" t="s">
        <v>14</v>
      </c>
      <c r="D252" t="s">
        <v>26</v>
      </c>
      <c r="E252">
        <v>33</v>
      </c>
      <c r="F252">
        <v>189</v>
      </c>
      <c r="G252">
        <v>60</v>
      </c>
      <c r="H252">
        <v>16.8</v>
      </c>
      <c r="I252">
        <v>128</v>
      </c>
      <c r="J252">
        <v>70</v>
      </c>
      <c r="K252">
        <v>76</v>
      </c>
      <c r="L252">
        <v>7.5</v>
      </c>
    </row>
    <row r="253" spans="1:12" x14ac:dyDescent="0.35">
      <c r="A253" t="s">
        <v>12</v>
      </c>
      <c r="B253" t="s">
        <v>17</v>
      </c>
      <c r="C253" t="s">
        <v>14</v>
      </c>
      <c r="D253" t="s">
        <v>15</v>
      </c>
      <c r="E253">
        <v>29</v>
      </c>
      <c r="F253">
        <v>176</v>
      </c>
      <c r="G253">
        <v>95</v>
      </c>
      <c r="H253">
        <v>30.7</v>
      </c>
      <c r="I253">
        <v>120</v>
      </c>
      <c r="J253">
        <v>80</v>
      </c>
      <c r="K253">
        <v>77</v>
      </c>
      <c r="L253">
        <v>9.8000000000000007</v>
      </c>
    </row>
    <row r="254" spans="1:12" x14ac:dyDescent="0.35">
      <c r="A254" t="s">
        <v>16</v>
      </c>
      <c r="B254" t="s">
        <v>13</v>
      </c>
      <c r="C254" t="s">
        <v>23</v>
      </c>
      <c r="D254" t="s">
        <v>26</v>
      </c>
      <c r="E254">
        <v>29</v>
      </c>
      <c r="F254">
        <v>169</v>
      </c>
      <c r="G254">
        <v>98</v>
      </c>
      <c r="H254">
        <v>34.299999999999997</v>
      </c>
      <c r="I254">
        <v>122</v>
      </c>
      <c r="J254">
        <v>88</v>
      </c>
      <c r="K254">
        <v>72</v>
      </c>
      <c r="L254">
        <v>8.6</v>
      </c>
    </row>
    <row r="255" spans="1:12" x14ac:dyDescent="0.35">
      <c r="A255" t="s">
        <v>12</v>
      </c>
      <c r="B255" t="s">
        <v>21</v>
      </c>
      <c r="C255" t="s">
        <v>14</v>
      </c>
      <c r="D255" t="s">
        <v>20</v>
      </c>
      <c r="E255">
        <v>49</v>
      </c>
      <c r="F255">
        <v>176</v>
      </c>
      <c r="G255">
        <v>85</v>
      </c>
      <c r="H255">
        <v>27.4</v>
      </c>
      <c r="I255">
        <v>110</v>
      </c>
      <c r="J255">
        <v>78</v>
      </c>
      <c r="K255">
        <v>79</v>
      </c>
      <c r="L255">
        <v>8.9</v>
      </c>
    </row>
    <row r="256" spans="1:12" x14ac:dyDescent="0.35">
      <c r="A256" t="s">
        <v>12</v>
      </c>
      <c r="B256" t="s">
        <v>24</v>
      </c>
      <c r="C256" t="s">
        <v>23</v>
      </c>
      <c r="D256" t="s">
        <v>15</v>
      </c>
      <c r="E256">
        <v>41</v>
      </c>
      <c r="F256">
        <v>166</v>
      </c>
      <c r="G256">
        <v>74</v>
      </c>
      <c r="H256">
        <v>26.9</v>
      </c>
      <c r="I256">
        <v>149</v>
      </c>
      <c r="J256">
        <v>71</v>
      </c>
      <c r="K256">
        <v>88</v>
      </c>
      <c r="L256">
        <v>8.1</v>
      </c>
    </row>
    <row r="257" spans="1:12" x14ac:dyDescent="0.35">
      <c r="A257" t="s">
        <v>12</v>
      </c>
      <c r="B257" t="s">
        <v>25</v>
      </c>
      <c r="C257" t="s">
        <v>14</v>
      </c>
      <c r="D257" t="s">
        <v>15</v>
      </c>
      <c r="E257">
        <v>28</v>
      </c>
      <c r="F257">
        <v>172</v>
      </c>
      <c r="G257">
        <v>78</v>
      </c>
      <c r="H257">
        <v>26.4</v>
      </c>
      <c r="I257">
        <v>128</v>
      </c>
      <c r="J257">
        <v>81</v>
      </c>
      <c r="K257">
        <v>79</v>
      </c>
      <c r="L257">
        <v>9.4</v>
      </c>
    </row>
    <row r="258" spans="1:12" x14ac:dyDescent="0.35">
      <c r="A258" t="s">
        <v>12</v>
      </c>
      <c r="B258" t="s">
        <v>13</v>
      </c>
      <c r="C258" t="s">
        <v>14</v>
      </c>
      <c r="D258" t="s">
        <v>26</v>
      </c>
      <c r="E258">
        <v>32</v>
      </c>
      <c r="F258">
        <v>189</v>
      </c>
      <c r="G258">
        <v>79</v>
      </c>
      <c r="H258">
        <v>22.1</v>
      </c>
      <c r="I258">
        <v>121</v>
      </c>
      <c r="J258">
        <v>73</v>
      </c>
      <c r="K258">
        <v>80</v>
      </c>
      <c r="L258">
        <v>7.7</v>
      </c>
    </row>
    <row r="259" spans="1:12" x14ac:dyDescent="0.35">
      <c r="A259" t="s">
        <v>16</v>
      </c>
      <c r="B259" t="s">
        <v>22</v>
      </c>
      <c r="C259" t="s">
        <v>14</v>
      </c>
      <c r="D259" t="s">
        <v>15</v>
      </c>
      <c r="E259">
        <v>41</v>
      </c>
      <c r="F259">
        <v>184</v>
      </c>
      <c r="G259">
        <v>90</v>
      </c>
      <c r="H259">
        <v>26.6</v>
      </c>
      <c r="I259">
        <v>117</v>
      </c>
      <c r="J259">
        <v>73</v>
      </c>
      <c r="K259">
        <v>86</v>
      </c>
      <c r="L259">
        <v>9.6999999999999993</v>
      </c>
    </row>
    <row r="260" spans="1:12" x14ac:dyDescent="0.35">
      <c r="A260" t="s">
        <v>16</v>
      </c>
      <c r="B260" t="s">
        <v>13</v>
      </c>
      <c r="C260" t="s">
        <v>14</v>
      </c>
      <c r="D260" t="s">
        <v>26</v>
      </c>
      <c r="E260">
        <v>37</v>
      </c>
      <c r="F260">
        <v>178</v>
      </c>
      <c r="G260">
        <v>75</v>
      </c>
      <c r="H260">
        <v>23.7</v>
      </c>
      <c r="I260">
        <v>117</v>
      </c>
      <c r="J260">
        <v>87</v>
      </c>
      <c r="K260">
        <v>77</v>
      </c>
      <c r="L260">
        <v>9.6</v>
      </c>
    </row>
    <row r="261" spans="1:12" x14ac:dyDescent="0.35">
      <c r="A261" t="s">
        <v>12</v>
      </c>
      <c r="B261" t="s">
        <v>22</v>
      </c>
      <c r="C261" t="s">
        <v>23</v>
      </c>
      <c r="D261" t="s">
        <v>15</v>
      </c>
      <c r="E261">
        <v>25</v>
      </c>
      <c r="F261">
        <v>184</v>
      </c>
      <c r="G261">
        <v>84</v>
      </c>
      <c r="H261">
        <v>24.8</v>
      </c>
      <c r="I261">
        <v>121</v>
      </c>
      <c r="J261">
        <v>84</v>
      </c>
      <c r="K261">
        <v>63</v>
      </c>
      <c r="L261">
        <v>8</v>
      </c>
    </row>
    <row r="262" spans="1:12" x14ac:dyDescent="0.35">
      <c r="A262" t="s">
        <v>12</v>
      </c>
      <c r="B262" t="s">
        <v>21</v>
      </c>
      <c r="C262" t="s">
        <v>14</v>
      </c>
      <c r="D262" t="s">
        <v>18</v>
      </c>
      <c r="E262">
        <v>27</v>
      </c>
      <c r="F262">
        <v>168</v>
      </c>
      <c r="G262">
        <v>78</v>
      </c>
      <c r="H262">
        <v>27.6</v>
      </c>
      <c r="I262">
        <v>142</v>
      </c>
      <c r="J262">
        <v>88</v>
      </c>
      <c r="K262">
        <v>60</v>
      </c>
      <c r="L262">
        <v>9.5</v>
      </c>
    </row>
    <row r="263" spans="1:12" x14ac:dyDescent="0.35">
      <c r="A263" t="s">
        <v>16</v>
      </c>
      <c r="B263" t="s">
        <v>22</v>
      </c>
      <c r="C263" t="s">
        <v>14</v>
      </c>
      <c r="D263" t="s">
        <v>26</v>
      </c>
      <c r="E263">
        <v>43</v>
      </c>
      <c r="F263">
        <v>160</v>
      </c>
      <c r="G263">
        <v>98</v>
      </c>
      <c r="H263">
        <v>38.299999999999997</v>
      </c>
      <c r="I263">
        <v>135</v>
      </c>
      <c r="J263">
        <v>82</v>
      </c>
      <c r="K263">
        <v>77</v>
      </c>
      <c r="L263">
        <v>9.5</v>
      </c>
    </row>
    <row r="264" spans="1:12" x14ac:dyDescent="0.35">
      <c r="A264" t="s">
        <v>12</v>
      </c>
      <c r="B264" t="s">
        <v>25</v>
      </c>
      <c r="C264" t="s">
        <v>23</v>
      </c>
      <c r="D264" t="s">
        <v>15</v>
      </c>
      <c r="E264">
        <v>47</v>
      </c>
      <c r="F264">
        <v>157</v>
      </c>
      <c r="G264">
        <v>96</v>
      </c>
      <c r="H264">
        <v>38.9</v>
      </c>
      <c r="I264">
        <v>148</v>
      </c>
      <c r="J264">
        <v>88</v>
      </c>
      <c r="K264">
        <v>60</v>
      </c>
      <c r="L264">
        <v>9.1</v>
      </c>
    </row>
    <row r="265" spans="1:12" x14ac:dyDescent="0.35">
      <c r="A265" t="s">
        <v>12</v>
      </c>
      <c r="B265" t="s">
        <v>24</v>
      </c>
      <c r="C265" t="s">
        <v>14</v>
      </c>
      <c r="D265" t="s">
        <v>20</v>
      </c>
      <c r="E265">
        <v>24</v>
      </c>
      <c r="F265">
        <v>170</v>
      </c>
      <c r="G265">
        <v>84</v>
      </c>
      <c r="H265">
        <v>29.1</v>
      </c>
      <c r="I265">
        <v>137</v>
      </c>
      <c r="J265">
        <v>86</v>
      </c>
      <c r="K265">
        <v>85</v>
      </c>
      <c r="L265">
        <v>8.4</v>
      </c>
    </row>
    <row r="266" spans="1:12" x14ac:dyDescent="0.35">
      <c r="A266" t="s">
        <v>12</v>
      </c>
      <c r="B266" t="s">
        <v>22</v>
      </c>
      <c r="C266" t="s">
        <v>14</v>
      </c>
      <c r="D266" t="s">
        <v>15</v>
      </c>
      <c r="E266">
        <v>35</v>
      </c>
      <c r="F266">
        <v>161</v>
      </c>
      <c r="G266">
        <v>76</v>
      </c>
      <c r="H266">
        <v>29.3</v>
      </c>
      <c r="I266">
        <v>114</v>
      </c>
      <c r="J266">
        <v>75</v>
      </c>
      <c r="K266">
        <v>85</v>
      </c>
      <c r="L266">
        <v>8.1999999999999993</v>
      </c>
    </row>
    <row r="267" spans="1:12" x14ac:dyDescent="0.35">
      <c r="A267" t="s">
        <v>16</v>
      </c>
      <c r="B267" t="s">
        <v>22</v>
      </c>
      <c r="C267" t="s">
        <v>19</v>
      </c>
      <c r="D267" t="s">
        <v>20</v>
      </c>
      <c r="E267">
        <v>32</v>
      </c>
      <c r="F267">
        <v>168</v>
      </c>
      <c r="G267">
        <v>82</v>
      </c>
      <c r="H267">
        <v>29.1</v>
      </c>
      <c r="I267">
        <v>117</v>
      </c>
      <c r="J267">
        <v>85</v>
      </c>
      <c r="K267">
        <v>72</v>
      </c>
      <c r="L267">
        <v>8.1</v>
      </c>
    </row>
    <row r="268" spans="1:12" x14ac:dyDescent="0.35">
      <c r="A268" t="s">
        <v>16</v>
      </c>
      <c r="B268" t="s">
        <v>24</v>
      </c>
      <c r="C268" t="s">
        <v>14</v>
      </c>
      <c r="D268" t="s">
        <v>20</v>
      </c>
      <c r="E268">
        <v>39</v>
      </c>
      <c r="F268">
        <v>163</v>
      </c>
      <c r="G268">
        <v>61</v>
      </c>
      <c r="H268">
        <v>23</v>
      </c>
      <c r="I268">
        <v>134</v>
      </c>
      <c r="J268">
        <v>93</v>
      </c>
      <c r="K268">
        <v>79</v>
      </c>
      <c r="L268">
        <v>8.3000000000000007</v>
      </c>
    </row>
    <row r="269" spans="1:12" x14ac:dyDescent="0.35">
      <c r="A269" t="s">
        <v>16</v>
      </c>
      <c r="B269" t="s">
        <v>25</v>
      </c>
      <c r="C269" t="s">
        <v>14</v>
      </c>
      <c r="D269" t="s">
        <v>18</v>
      </c>
      <c r="E269">
        <v>33</v>
      </c>
      <c r="F269">
        <v>169</v>
      </c>
      <c r="G269">
        <v>89</v>
      </c>
      <c r="H269">
        <v>31.2</v>
      </c>
      <c r="I269">
        <v>136</v>
      </c>
      <c r="J269">
        <v>81</v>
      </c>
      <c r="K269">
        <v>79</v>
      </c>
      <c r="L269">
        <v>9.8000000000000007</v>
      </c>
    </row>
    <row r="270" spans="1:12" x14ac:dyDescent="0.35">
      <c r="A270" t="s">
        <v>12</v>
      </c>
      <c r="B270" t="s">
        <v>13</v>
      </c>
      <c r="C270" t="s">
        <v>19</v>
      </c>
      <c r="D270" t="s">
        <v>26</v>
      </c>
      <c r="E270">
        <v>44</v>
      </c>
      <c r="F270">
        <v>175</v>
      </c>
      <c r="G270">
        <v>82</v>
      </c>
      <c r="H270">
        <v>26.8</v>
      </c>
      <c r="I270">
        <v>132</v>
      </c>
      <c r="J270">
        <v>88</v>
      </c>
      <c r="K270">
        <v>82</v>
      </c>
      <c r="L270">
        <v>7.7</v>
      </c>
    </row>
    <row r="271" spans="1:12" x14ac:dyDescent="0.35">
      <c r="A271" t="s">
        <v>12</v>
      </c>
      <c r="B271" t="s">
        <v>22</v>
      </c>
      <c r="C271" t="s">
        <v>14</v>
      </c>
      <c r="D271" t="s">
        <v>15</v>
      </c>
      <c r="E271">
        <v>33</v>
      </c>
      <c r="F271">
        <v>189</v>
      </c>
      <c r="G271">
        <v>68</v>
      </c>
      <c r="H271">
        <v>19</v>
      </c>
      <c r="I271">
        <v>139</v>
      </c>
      <c r="J271">
        <v>74</v>
      </c>
      <c r="K271">
        <v>69</v>
      </c>
      <c r="L271">
        <v>9.6</v>
      </c>
    </row>
    <row r="272" spans="1:12" x14ac:dyDescent="0.35">
      <c r="A272" t="s">
        <v>16</v>
      </c>
      <c r="B272" t="s">
        <v>24</v>
      </c>
      <c r="C272" t="s">
        <v>14</v>
      </c>
      <c r="D272" t="s">
        <v>18</v>
      </c>
      <c r="E272">
        <v>34</v>
      </c>
      <c r="F272">
        <v>156</v>
      </c>
      <c r="G272">
        <v>64</v>
      </c>
      <c r="H272">
        <v>26.3</v>
      </c>
      <c r="I272">
        <v>132</v>
      </c>
      <c r="J272">
        <v>86</v>
      </c>
      <c r="K272">
        <v>86</v>
      </c>
      <c r="L272">
        <v>8.4</v>
      </c>
    </row>
    <row r="273" spans="1:12" x14ac:dyDescent="0.35">
      <c r="A273" t="s">
        <v>16</v>
      </c>
      <c r="B273" t="s">
        <v>21</v>
      </c>
      <c r="C273" t="s">
        <v>14</v>
      </c>
      <c r="D273" t="s">
        <v>15</v>
      </c>
      <c r="E273">
        <v>46</v>
      </c>
      <c r="F273">
        <v>181</v>
      </c>
      <c r="G273">
        <v>70</v>
      </c>
      <c r="H273">
        <v>21.4</v>
      </c>
      <c r="I273">
        <v>129</v>
      </c>
      <c r="J273">
        <v>92</v>
      </c>
      <c r="K273">
        <v>70</v>
      </c>
      <c r="L273">
        <v>8.8000000000000007</v>
      </c>
    </row>
    <row r="274" spans="1:12" x14ac:dyDescent="0.35">
      <c r="A274" t="s">
        <v>16</v>
      </c>
      <c r="B274" t="s">
        <v>24</v>
      </c>
      <c r="C274" t="s">
        <v>23</v>
      </c>
      <c r="D274" t="s">
        <v>20</v>
      </c>
      <c r="E274">
        <v>40</v>
      </c>
      <c r="F274">
        <v>156</v>
      </c>
      <c r="G274">
        <v>70</v>
      </c>
      <c r="H274">
        <v>28.8</v>
      </c>
      <c r="I274">
        <v>127</v>
      </c>
      <c r="J274">
        <v>70</v>
      </c>
      <c r="K274">
        <v>68</v>
      </c>
      <c r="L274">
        <v>9.5</v>
      </c>
    </row>
    <row r="275" spans="1:12" x14ac:dyDescent="0.35">
      <c r="A275" t="s">
        <v>16</v>
      </c>
      <c r="B275" t="s">
        <v>21</v>
      </c>
      <c r="C275" t="s">
        <v>14</v>
      </c>
      <c r="D275" t="s">
        <v>26</v>
      </c>
      <c r="E275">
        <v>57</v>
      </c>
      <c r="F275">
        <v>189</v>
      </c>
      <c r="G275">
        <v>85</v>
      </c>
      <c r="H275">
        <v>23.8</v>
      </c>
      <c r="I275">
        <v>127</v>
      </c>
      <c r="J275">
        <v>94</v>
      </c>
      <c r="K275">
        <v>68</v>
      </c>
      <c r="L275">
        <v>9.6999999999999993</v>
      </c>
    </row>
    <row r="276" spans="1:12" x14ac:dyDescent="0.35">
      <c r="A276" t="s">
        <v>12</v>
      </c>
      <c r="B276" t="s">
        <v>25</v>
      </c>
      <c r="C276" t="s">
        <v>14</v>
      </c>
      <c r="D276" t="s">
        <v>15</v>
      </c>
      <c r="E276">
        <v>29</v>
      </c>
      <c r="F276">
        <v>172</v>
      </c>
      <c r="G276">
        <v>96</v>
      </c>
      <c r="H276">
        <v>32.4</v>
      </c>
      <c r="I276">
        <v>111</v>
      </c>
      <c r="J276">
        <v>93</v>
      </c>
      <c r="K276">
        <v>64</v>
      </c>
      <c r="L276">
        <v>8.4</v>
      </c>
    </row>
    <row r="277" spans="1:12" x14ac:dyDescent="0.35">
      <c r="A277" t="s">
        <v>16</v>
      </c>
      <c r="B277" t="s">
        <v>13</v>
      </c>
      <c r="C277" t="s">
        <v>23</v>
      </c>
      <c r="D277" t="s">
        <v>15</v>
      </c>
      <c r="E277">
        <v>50</v>
      </c>
      <c r="F277">
        <v>168</v>
      </c>
      <c r="G277">
        <v>79</v>
      </c>
      <c r="H277">
        <v>28</v>
      </c>
      <c r="I277">
        <v>113</v>
      </c>
      <c r="J277">
        <v>92</v>
      </c>
      <c r="K277">
        <v>85</v>
      </c>
      <c r="L277">
        <v>8.6999999999999993</v>
      </c>
    </row>
    <row r="278" spans="1:12" x14ac:dyDescent="0.35">
      <c r="A278" t="s">
        <v>12</v>
      </c>
      <c r="B278" t="s">
        <v>24</v>
      </c>
      <c r="C278" t="s">
        <v>23</v>
      </c>
      <c r="D278" t="s">
        <v>20</v>
      </c>
      <c r="E278">
        <v>53</v>
      </c>
      <c r="F278">
        <v>174</v>
      </c>
      <c r="G278">
        <v>67</v>
      </c>
      <c r="H278">
        <v>22.1</v>
      </c>
      <c r="I278">
        <v>139</v>
      </c>
      <c r="J278">
        <v>79</v>
      </c>
      <c r="K278">
        <v>60</v>
      </c>
      <c r="L278">
        <v>8.5</v>
      </c>
    </row>
    <row r="279" spans="1:12" x14ac:dyDescent="0.35">
      <c r="A279" t="s">
        <v>16</v>
      </c>
      <c r="B279" t="s">
        <v>17</v>
      </c>
      <c r="C279" t="s">
        <v>14</v>
      </c>
      <c r="D279" t="s">
        <v>15</v>
      </c>
      <c r="E279">
        <v>39</v>
      </c>
      <c r="F279">
        <v>172</v>
      </c>
      <c r="G279">
        <v>60</v>
      </c>
      <c r="H279">
        <v>20.3</v>
      </c>
      <c r="I279">
        <v>142</v>
      </c>
      <c r="J279">
        <v>84</v>
      </c>
      <c r="K279">
        <v>76</v>
      </c>
      <c r="L279">
        <v>7.5</v>
      </c>
    </row>
    <row r="280" spans="1:12" x14ac:dyDescent="0.35">
      <c r="A280" t="s">
        <v>12</v>
      </c>
      <c r="B280" t="s">
        <v>22</v>
      </c>
      <c r="C280" t="s">
        <v>14</v>
      </c>
      <c r="D280" t="s">
        <v>15</v>
      </c>
      <c r="E280">
        <v>27</v>
      </c>
      <c r="F280">
        <v>164</v>
      </c>
      <c r="G280">
        <v>98</v>
      </c>
      <c r="H280">
        <v>36.4</v>
      </c>
      <c r="I280">
        <v>145</v>
      </c>
      <c r="J280">
        <v>92</v>
      </c>
      <c r="K280">
        <v>81</v>
      </c>
      <c r="L280">
        <v>8.1999999999999993</v>
      </c>
    </row>
    <row r="281" spans="1:12" x14ac:dyDescent="0.35">
      <c r="A281" t="s">
        <v>16</v>
      </c>
      <c r="B281" t="s">
        <v>25</v>
      </c>
      <c r="C281" t="s">
        <v>14</v>
      </c>
      <c r="D281" t="s">
        <v>20</v>
      </c>
      <c r="E281">
        <v>39</v>
      </c>
      <c r="F281">
        <v>179</v>
      </c>
      <c r="G281">
        <v>63</v>
      </c>
      <c r="H281">
        <v>19.7</v>
      </c>
      <c r="I281">
        <v>127</v>
      </c>
      <c r="J281">
        <v>90</v>
      </c>
      <c r="K281">
        <v>61</v>
      </c>
      <c r="L281">
        <v>8.6</v>
      </c>
    </row>
    <row r="282" spans="1:12" x14ac:dyDescent="0.35">
      <c r="A282" t="s">
        <v>16</v>
      </c>
      <c r="B282" t="s">
        <v>24</v>
      </c>
      <c r="C282" t="s">
        <v>23</v>
      </c>
      <c r="D282" t="s">
        <v>18</v>
      </c>
      <c r="E282">
        <v>40</v>
      </c>
      <c r="F282">
        <v>156</v>
      </c>
      <c r="G282">
        <v>99</v>
      </c>
      <c r="H282">
        <v>40.700000000000003</v>
      </c>
      <c r="I282">
        <v>146</v>
      </c>
      <c r="J282">
        <v>90</v>
      </c>
      <c r="K282">
        <v>83</v>
      </c>
      <c r="L282">
        <v>8.5</v>
      </c>
    </row>
    <row r="283" spans="1:12" x14ac:dyDescent="0.35">
      <c r="A283" t="s">
        <v>16</v>
      </c>
      <c r="B283" t="s">
        <v>22</v>
      </c>
      <c r="C283" t="s">
        <v>14</v>
      </c>
      <c r="D283" t="s">
        <v>20</v>
      </c>
      <c r="E283">
        <v>43</v>
      </c>
      <c r="F283">
        <v>179</v>
      </c>
      <c r="G283">
        <v>90</v>
      </c>
      <c r="H283">
        <v>28.1</v>
      </c>
      <c r="I283">
        <v>128</v>
      </c>
      <c r="J283">
        <v>80</v>
      </c>
      <c r="K283">
        <v>72</v>
      </c>
      <c r="L283">
        <v>9.3000000000000007</v>
      </c>
    </row>
    <row r="284" spans="1:12" x14ac:dyDescent="0.35">
      <c r="A284" t="s">
        <v>16</v>
      </c>
      <c r="B284" t="s">
        <v>24</v>
      </c>
      <c r="C284" t="s">
        <v>14</v>
      </c>
      <c r="D284" t="s">
        <v>18</v>
      </c>
      <c r="E284">
        <v>58</v>
      </c>
      <c r="F284">
        <v>187</v>
      </c>
      <c r="G284">
        <v>97</v>
      </c>
      <c r="H284">
        <v>27.7</v>
      </c>
      <c r="I284">
        <v>137</v>
      </c>
      <c r="J284">
        <v>82</v>
      </c>
      <c r="K284">
        <v>68</v>
      </c>
      <c r="L284">
        <v>8.5</v>
      </c>
    </row>
    <row r="285" spans="1:12" x14ac:dyDescent="0.35">
      <c r="A285" t="s">
        <v>12</v>
      </c>
      <c r="B285" t="s">
        <v>21</v>
      </c>
      <c r="C285" t="s">
        <v>23</v>
      </c>
      <c r="D285" t="s">
        <v>26</v>
      </c>
      <c r="E285">
        <v>53</v>
      </c>
      <c r="F285">
        <v>185</v>
      </c>
      <c r="G285">
        <v>74</v>
      </c>
      <c r="H285">
        <v>21.6</v>
      </c>
      <c r="I285">
        <v>149</v>
      </c>
      <c r="J285">
        <v>74</v>
      </c>
      <c r="K285">
        <v>88</v>
      </c>
      <c r="L285">
        <v>8.6999999999999993</v>
      </c>
    </row>
    <row r="286" spans="1:12" x14ac:dyDescent="0.35">
      <c r="A286" t="s">
        <v>16</v>
      </c>
      <c r="B286" t="s">
        <v>24</v>
      </c>
      <c r="C286" t="s">
        <v>23</v>
      </c>
      <c r="D286" t="s">
        <v>18</v>
      </c>
      <c r="E286">
        <v>24</v>
      </c>
      <c r="F286">
        <v>168</v>
      </c>
      <c r="G286">
        <v>72</v>
      </c>
      <c r="H286">
        <v>25.5</v>
      </c>
      <c r="I286">
        <v>129</v>
      </c>
      <c r="J286">
        <v>70</v>
      </c>
      <c r="K286">
        <v>63</v>
      </c>
      <c r="L286">
        <v>8.6</v>
      </c>
    </row>
    <row r="287" spans="1:12" x14ac:dyDescent="0.35">
      <c r="A287" t="s">
        <v>12</v>
      </c>
      <c r="B287" t="s">
        <v>17</v>
      </c>
      <c r="C287" t="s">
        <v>14</v>
      </c>
      <c r="D287" t="s">
        <v>18</v>
      </c>
      <c r="E287">
        <v>49</v>
      </c>
      <c r="F287">
        <v>155</v>
      </c>
      <c r="G287">
        <v>97</v>
      </c>
      <c r="H287">
        <v>40.4</v>
      </c>
      <c r="I287">
        <v>142</v>
      </c>
      <c r="J287">
        <v>93</v>
      </c>
      <c r="K287">
        <v>64</v>
      </c>
      <c r="L287">
        <v>9.4</v>
      </c>
    </row>
    <row r="288" spans="1:12" x14ac:dyDescent="0.35">
      <c r="A288" t="s">
        <v>12</v>
      </c>
      <c r="B288" t="s">
        <v>24</v>
      </c>
      <c r="C288" t="s">
        <v>23</v>
      </c>
      <c r="D288" t="s">
        <v>26</v>
      </c>
      <c r="E288">
        <v>31</v>
      </c>
      <c r="F288">
        <v>170</v>
      </c>
      <c r="G288">
        <v>75</v>
      </c>
      <c r="H288">
        <v>26</v>
      </c>
      <c r="I288">
        <v>121</v>
      </c>
      <c r="J288">
        <v>81</v>
      </c>
      <c r="K288">
        <v>70</v>
      </c>
      <c r="L288">
        <v>9.6999999999999993</v>
      </c>
    </row>
    <row r="289" spans="1:12" x14ac:dyDescent="0.35">
      <c r="A289" t="s">
        <v>12</v>
      </c>
      <c r="B289" t="s">
        <v>24</v>
      </c>
      <c r="C289" t="s">
        <v>14</v>
      </c>
      <c r="D289" t="s">
        <v>18</v>
      </c>
      <c r="E289">
        <v>56</v>
      </c>
      <c r="F289">
        <v>157</v>
      </c>
      <c r="G289">
        <v>58</v>
      </c>
      <c r="H289">
        <v>23.5</v>
      </c>
      <c r="I289">
        <v>124</v>
      </c>
      <c r="J289">
        <v>80</v>
      </c>
      <c r="K289">
        <v>83</v>
      </c>
      <c r="L289">
        <v>8.8000000000000007</v>
      </c>
    </row>
    <row r="290" spans="1:12" x14ac:dyDescent="0.35">
      <c r="A290" t="s">
        <v>12</v>
      </c>
      <c r="B290" t="s">
        <v>17</v>
      </c>
      <c r="C290" t="s">
        <v>23</v>
      </c>
      <c r="D290" t="s">
        <v>20</v>
      </c>
      <c r="E290">
        <v>50</v>
      </c>
      <c r="F290">
        <v>189</v>
      </c>
      <c r="G290">
        <v>87</v>
      </c>
      <c r="H290">
        <v>24.4</v>
      </c>
      <c r="I290">
        <v>148</v>
      </c>
      <c r="J290">
        <v>86</v>
      </c>
      <c r="K290">
        <v>78</v>
      </c>
      <c r="L290">
        <v>9.5</v>
      </c>
    </row>
    <row r="291" spans="1:12" x14ac:dyDescent="0.35">
      <c r="A291" t="s">
        <v>16</v>
      </c>
      <c r="B291" t="s">
        <v>25</v>
      </c>
      <c r="C291" t="s">
        <v>14</v>
      </c>
      <c r="D291" t="s">
        <v>18</v>
      </c>
      <c r="E291">
        <v>36</v>
      </c>
      <c r="F291">
        <v>160</v>
      </c>
      <c r="G291">
        <v>81</v>
      </c>
      <c r="H291">
        <v>31.6</v>
      </c>
      <c r="I291">
        <v>111</v>
      </c>
      <c r="J291">
        <v>73</v>
      </c>
      <c r="K291">
        <v>80</v>
      </c>
      <c r="L291">
        <v>8.1999999999999993</v>
      </c>
    </row>
    <row r="292" spans="1:12" x14ac:dyDescent="0.35">
      <c r="A292" t="s">
        <v>12</v>
      </c>
      <c r="B292" t="s">
        <v>24</v>
      </c>
      <c r="C292" t="s">
        <v>14</v>
      </c>
      <c r="D292" t="s">
        <v>26</v>
      </c>
      <c r="E292">
        <v>54</v>
      </c>
      <c r="F292">
        <v>179</v>
      </c>
      <c r="G292">
        <v>61</v>
      </c>
      <c r="H292">
        <v>19</v>
      </c>
      <c r="I292">
        <v>138</v>
      </c>
      <c r="J292">
        <v>84</v>
      </c>
      <c r="K292">
        <v>62</v>
      </c>
      <c r="L292">
        <v>8.9</v>
      </c>
    </row>
    <row r="293" spans="1:12" x14ac:dyDescent="0.35">
      <c r="A293" t="s">
        <v>12</v>
      </c>
      <c r="B293" t="s">
        <v>17</v>
      </c>
      <c r="C293" t="s">
        <v>23</v>
      </c>
      <c r="D293" t="s">
        <v>20</v>
      </c>
      <c r="E293">
        <v>28</v>
      </c>
      <c r="F293">
        <v>167</v>
      </c>
      <c r="G293">
        <v>60</v>
      </c>
      <c r="H293">
        <v>21.5</v>
      </c>
      <c r="I293">
        <v>119</v>
      </c>
      <c r="J293">
        <v>94</v>
      </c>
      <c r="K293">
        <v>71</v>
      </c>
      <c r="L293">
        <v>8.4</v>
      </c>
    </row>
    <row r="294" spans="1:12" x14ac:dyDescent="0.35">
      <c r="A294" t="s">
        <v>12</v>
      </c>
      <c r="B294" t="s">
        <v>22</v>
      </c>
      <c r="C294" t="s">
        <v>14</v>
      </c>
      <c r="D294" t="s">
        <v>26</v>
      </c>
      <c r="E294">
        <v>33</v>
      </c>
      <c r="F294">
        <v>188</v>
      </c>
      <c r="G294">
        <v>69</v>
      </c>
      <c r="H294">
        <v>19.5</v>
      </c>
      <c r="I294">
        <v>111</v>
      </c>
      <c r="J294">
        <v>78</v>
      </c>
      <c r="K294">
        <v>85</v>
      </c>
      <c r="L294">
        <v>8.5</v>
      </c>
    </row>
    <row r="295" spans="1:12" x14ac:dyDescent="0.35">
      <c r="A295" t="s">
        <v>16</v>
      </c>
      <c r="B295" t="s">
        <v>21</v>
      </c>
      <c r="C295" t="s">
        <v>14</v>
      </c>
      <c r="D295" t="s">
        <v>26</v>
      </c>
      <c r="E295">
        <v>51</v>
      </c>
      <c r="F295">
        <v>162</v>
      </c>
      <c r="G295">
        <v>72</v>
      </c>
      <c r="H295">
        <v>27.4</v>
      </c>
      <c r="I295">
        <v>120</v>
      </c>
      <c r="J295">
        <v>90</v>
      </c>
      <c r="K295">
        <v>78</v>
      </c>
      <c r="L295">
        <v>9.3000000000000007</v>
      </c>
    </row>
    <row r="296" spans="1:12" x14ac:dyDescent="0.35">
      <c r="A296" t="s">
        <v>16</v>
      </c>
      <c r="B296" t="s">
        <v>21</v>
      </c>
      <c r="C296" t="s">
        <v>23</v>
      </c>
      <c r="D296" t="s">
        <v>15</v>
      </c>
      <c r="E296">
        <v>42</v>
      </c>
      <c r="F296">
        <v>175</v>
      </c>
      <c r="G296">
        <v>86</v>
      </c>
      <c r="H296">
        <v>28.1</v>
      </c>
      <c r="I296">
        <v>122</v>
      </c>
      <c r="J296">
        <v>89</v>
      </c>
      <c r="K296">
        <v>78</v>
      </c>
      <c r="L296">
        <v>9.6999999999999993</v>
      </c>
    </row>
    <row r="297" spans="1:12" x14ac:dyDescent="0.35">
      <c r="A297" t="s">
        <v>16</v>
      </c>
      <c r="B297" t="s">
        <v>24</v>
      </c>
      <c r="C297" t="s">
        <v>23</v>
      </c>
      <c r="D297" t="s">
        <v>15</v>
      </c>
      <c r="E297">
        <v>52</v>
      </c>
      <c r="F297">
        <v>188</v>
      </c>
      <c r="G297">
        <v>65</v>
      </c>
      <c r="H297">
        <v>18.399999999999999</v>
      </c>
      <c r="I297">
        <v>119</v>
      </c>
      <c r="J297">
        <v>88</v>
      </c>
      <c r="K297">
        <v>72</v>
      </c>
      <c r="L297">
        <v>7.8</v>
      </c>
    </row>
    <row r="298" spans="1:12" x14ac:dyDescent="0.35">
      <c r="A298" t="s">
        <v>16</v>
      </c>
      <c r="B298" t="s">
        <v>25</v>
      </c>
      <c r="C298" t="s">
        <v>14</v>
      </c>
      <c r="D298" t="s">
        <v>26</v>
      </c>
      <c r="E298">
        <v>45</v>
      </c>
      <c r="F298">
        <v>158</v>
      </c>
      <c r="G298">
        <v>74</v>
      </c>
      <c r="H298">
        <v>29.6</v>
      </c>
      <c r="I298">
        <v>123</v>
      </c>
      <c r="J298">
        <v>88</v>
      </c>
      <c r="K298">
        <v>87</v>
      </c>
      <c r="L298">
        <v>9.1</v>
      </c>
    </row>
    <row r="299" spans="1:12" x14ac:dyDescent="0.35">
      <c r="A299" t="s">
        <v>12</v>
      </c>
      <c r="B299" t="s">
        <v>25</v>
      </c>
      <c r="C299" t="s">
        <v>14</v>
      </c>
      <c r="D299" t="s">
        <v>26</v>
      </c>
      <c r="E299">
        <v>41</v>
      </c>
      <c r="F299">
        <v>179</v>
      </c>
      <c r="G299">
        <v>78</v>
      </c>
      <c r="H299">
        <v>24.3</v>
      </c>
      <c r="I299">
        <v>127</v>
      </c>
      <c r="J299">
        <v>81</v>
      </c>
      <c r="K299">
        <v>66</v>
      </c>
      <c r="L299">
        <v>9</v>
      </c>
    </row>
    <row r="300" spans="1:12" x14ac:dyDescent="0.35">
      <c r="A300" t="s">
        <v>12</v>
      </c>
      <c r="B300" t="s">
        <v>22</v>
      </c>
      <c r="C300" t="s">
        <v>14</v>
      </c>
      <c r="D300" t="s">
        <v>26</v>
      </c>
      <c r="E300">
        <v>58</v>
      </c>
      <c r="F300">
        <v>169</v>
      </c>
      <c r="G300">
        <v>69</v>
      </c>
      <c r="H300">
        <v>24.2</v>
      </c>
      <c r="I300">
        <v>118</v>
      </c>
      <c r="J300">
        <v>74</v>
      </c>
      <c r="K300">
        <v>74</v>
      </c>
      <c r="L300">
        <v>7.8</v>
      </c>
    </row>
    <row r="301" spans="1:12" x14ac:dyDescent="0.35">
      <c r="A301" t="s">
        <v>16</v>
      </c>
      <c r="B301" t="s">
        <v>24</v>
      </c>
      <c r="C301" t="s">
        <v>14</v>
      </c>
      <c r="D301" t="s">
        <v>15</v>
      </c>
      <c r="E301">
        <v>25</v>
      </c>
      <c r="F301">
        <v>158</v>
      </c>
      <c r="G301">
        <v>61</v>
      </c>
      <c r="H301">
        <v>24.4</v>
      </c>
      <c r="I301">
        <v>148</v>
      </c>
      <c r="J301">
        <v>79</v>
      </c>
      <c r="K301">
        <v>82</v>
      </c>
      <c r="L301">
        <v>8</v>
      </c>
    </row>
    <row r="302" spans="1:12" x14ac:dyDescent="0.35">
      <c r="A302" t="s">
        <v>12</v>
      </c>
      <c r="B302" t="s">
        <v>21</v>
      </c>
      <c r="C302" t="s">
        <v>14</v>
      </c>
      <c r="D302" t="s">
        <v>15</v>
      </c>
      <c r="E302">
        <v>49</v>
      </c>
      <c r="F302">
        <v>166</v>
      </c>
      <c r="G302">
        <v>75</v>
      </c>
      <c r="H302">
        <v>27.2</v>
      </c>
      <c r="I302">
        <v>137</v>
      </c>
      <c r="J302">
        <v>86</v>
      </c>
      <c r="K302">
        <v>66</v>
      </c>
      <c r="L302">
        <v>8.3000000000000007</v>
      </c>
    </row>
    <row r="303" spans="1:12" x14ac:dyDescent="0.35">
      <c r="A303" t="s">
        <v>12</v>
      </c>
      <c r="B303" t="s">
        <v>25</v>
      </c>
      <c r="C303" t="s">
        <v>14</v>
      </c>
      <c r="D303" t="s">
        <v>18</v>
      </c>
      <c r="E303">
        <v>41</v>
      </c>
      <c r="F303">
        <v>186</v>
      </c>
      <c r="G303">
        <v>96</v>
      </c>
      <c r="H303">
        <v>27.7</v>
      </c>
      <c r="I303">
        <v>112</v>
      </c>
      <c r="J303">
        <v>74</v>
      </c>
      <c r="K303">
        <v>85</v>
      </c>
      <c r="L303">
        <v>7.9</v>
      </c>
    </row>
    <row r="304" spans="1:12" x14ac:dyDescent="0.35">
      <c r="A304" t="s">
        <v>12</v>
      </c>
      <c r="B304" t="s">
        <v>24</v>
      </c>
      <c r="C304" t="s">
        <v>19</v>
      </c>
      <c r="D304" t="s">
        <v>18</v>
      </c>
      <c r="E304">
        <v>45</v>
      </c>
      <c r="F304">
        <v>186</v>
      </c>
      <c r="G304">
        <v>80</v>
      </c>
      <c r="H304">
        <v>23.1</v>
      </c>
      <c r="I304">
        <v>129</v>
      </c>
      <c r="J304">
        <v>91</v>
      </c>
      <c r="K304">
        <v>67</v>
      </c>
      <c r="L304">
        <v>8.1</v>
      </c>
    </row>
    <row r="305" spans="1:12" x14ac:dyDescent="0.35">
      <c r="A305" t="s">
        <v>16</v>
      </c>
      <c r="B305" t="s">
        <v>25</v>
      </c>
      <c r="C305" t="s">
        <v>14</v>
      </c>
      <c r="D305" t="s">
        <v>26</v>
      </c>
      <c r="E305">
        <v>53</v>
      </c>
      <c r="F305">
        <v>182</v>
      </c>
      <c r="G305">
        <v>98</v>
      </c>
      <c r="H305">
        <v>29.6</v>
      </c>
      <c r="I305">
        <v>115</v>
      </c>
      <c r="J305">
        <v>85</v>
      </c>
      <c r="K305">
        <v>64</v>
      </c>
      <c r="L305">
        <v>8.1999999999999993</v>
      </c>
    </row>
    <row r="306" spans="1:12" x14ac:dyDescent="0.35">
      <c r="A306" t="s">
        <v>16</v>
      </c>
      <c r="B306" t="s">
        <v>17</v>
      </c>
      <c r="C306" t="s">
        <v>14</v>
      </c>
      <c r="D306" t="s">
        <v>20</v>
      </c>
      <c r="E306">
        <v>57</v>
      </c>
      <c r="F306">
        <v>167</v>
      </c>
      <c r="G306">
        <v>68</v>
      </c>
      <c r="H306">
        <v>24.4</v>
      </c>
      <c r="I306">
        <v>136</v>
      </c>
      <c r="J306">
        <v>76</v>
      </c>
      <c r="K306">
        <v>80</v>
      </c>
      <c r="L306">
        <v>8.3000000000000007</v>
      </c>
    </row>
    <row r="307" spans="1:12" x14ac:dyDescent="0.35">
      <c r="A307" t="s">
        <v>12</v>
      </c>
      <c r="B307" t="s">
        <v>25</v>
      </c>
      <c r="C307" t="s">
        <v>14</v>
      </c>
      <c r="D307" t="s">
        <v>20</v>
      </c>
      <c r="E307">
        <v>55</v>
      </c>
      <c r="F307">
        <v>185</v>
      </c>
      <c r="G307">
        <v>91</v>
      </c>
      <c r="H307">
        <v>26.6</v>
      </c>
      <c r="I307">
        <v>111</v>
      </c>
      <c r="J307">
        <v>78</v>
      </c>
      <c r="K307">
        <v>73</v>
      </c>
      <c r="L307">
        <v>9.4</v>
      </c>
    </row>
    <row r="308" spans="1:12" x14ac:dyDescent="0.35">
      <c r="A308" t="s">
        <v>16</v>
      </c>
      <c r="B308" t="s">
        <v>21</v>
      </c>
      <c r="C308" t="s">
        <v>19</v>
      </c>
      <c r="D308" t="s">
        <v>15</v>
      </c>
      <c r="E308">
        <v>57</v>
      </c>
      <c r="F308">
        <v>168</v>
      </c>
      <c r="G308">
        <v>75</v>
      </c>
      <c r="H308">
        <v>26.6</v>
      </c>
      <c r="I308">
        <v>138</v>
      </c>
      <c r="J308">
        <v>72</v>
      </c>
      <c r="K308">
        <v>63</v>
      </c>
      <c r="L308">
        <v>8.9</v>
      </c>
    </row>
    <row r="309" spans="1:12" x14ac:dyDescent="0.35">
      <c r="A309" t="s">
        <v>16</v>
      </c>
      <c r="B309" t="s">
        <v>13</v>
      </c>
      <c r="C309" t="s">
        <v>14</v>
      </c>
      <c r="D309" t="s">
        <v>15</v>
      </c>
      <c r="E309">
        <v>23</v>
      </c>
      <c r="F309">
        <v>174</v>
      </c>
      <c r="G309">
        <v>72</v>
      </c>
      <c r="H309">
        <v>23.8</v>
      </c>
      <c r="I309">
        <v>147</v>
      </c>
      <c r="J309">
        <v>84</v>
      </c>
      <c r="K309">
        <v>82</v>
      </c>
      <c r="L309">
        <v>10</v>
      </c>
    </row>
    <row r="310" spans="1:12" x14ac:dyDescent="0.35">
      <c r="A310" t="s">
        <v>16</v>
      </c>
      <c r="B310" t="s">
        <v>22</v>
      </c>
      <c r="C310" t="s">
        <v>14</v>
      </c>
      <c r="D310" t="s">
        <v>15</v>
      </c>
      <c r="E310">
        <v>36</v>
      </c>
      <c r="F310">
        <v>172</v>
      </c>
      <c r="G310">
        <v>59</v>
      </c>
      <c r="H310">
        <v>19.899999999999999</v>
      </c>
      <c r="I310">
        <v>112</v>
      </c>
      <c r="J310">
        <v>85</v>
      </c>
      <c r="K310">
        <v>69</v>
      </c>
      <c r="L310">
        <v>8.5</v>
      </c>
    </row>
    <row r="311" spans="1:12" x14ac:dyDescent="0.35">
      <c r="A311" t="s">
        <v>16</v>
      </c>
      <c r="B311" t="s">
        <v>22</v>
      </c>
      <c r="C311" t="s">
        <v>14</v>
      </c>
      <c r="D311" t="s">
        <v>26</v>
      </c>
      <c r="E311">
        <v>55</v>
      </c>
      <c r="F311">
        <v>183</v>
      </c>
      <c r="G311">
        <v>57</v>
      </c>
      <c r="H311">
        <v>17</v>
      </c>
      <c r="I311">
        <v>125</v>
      </c>
      <c r="J311">
        <v>87</v>
      </c>
      <c r="K311">
        <v>79</v>
      </c>
      <c r="L311">
        <v>9.4</v>
      </c>
    </row>
    <row r="312" spans="1:12" x14ac:dyDescent="0.35">
      <c r="A312" t="s">
        <v>16</v>
      </c>
      <c r="B312" t="s">
        <v>21</v>
      </c>
      <c r="C312" t="s">
        <v>14</v>
      </c>
      <c r="D312" t="s">
        <v>20</v>
      </c>
      <c r="E312">
        <v>57</v>
      </c>
      <c r="F312">
        <v>160</v>
      </c>
      <c r="G312">
        <v>77</v>
      </c>
      <c r="H312">
        <v>30.1</v>
      </c>
      <c r="I312">
        <v>139</v>
      </c>
      <c r="J312">
        <v>83</v>
      </c>
      <c r="K312">
        <v>74</v>
      </c>
      <c r="L312">
        <v>9.6999999999999993</v>
      </c>
    </row>
    <row r="313" spans="1:12" x14ac:dyDescent="0.35">
      <c r="A313" t="s">
        <v>12</v>
      </c>
      <c r="B313" t="s">
        <v>25</v>
      </c>
      <c r="C313" t="s">
        <v>14</v>
      </c>
      <c r="D313" t="s">
        <v>18</v>
      </c>
      <c r="E313">
        <v>27</v>
      </c>
      <c r="F313">
        <v>186</v>
      </c>
      <c r="G313">
        <v>80</v>
      </c>
      <c r="H313">
        <v>23.1</v>
      </c>
      <c r="I313">
        <v>149</v>
      </c>
      <c r="J313">
        <v>72</v>
      </c>
      <c r="K313">
        <v>77</v>
      </c>
      <c r="L313">
        <v>9.1999999999999993</v>
      </c>
    </row>
    <row r="314" spans="1:12" x14ac:dyDescent="0.35">
      <c r="A314" t="s">
        <v>16</v>
      </c>
      <c r="B314" t="s">
        <v>24</v>
      </c>
      <c r="C314" t="s">
        <v>23</v>
      </c>
      <c r="D314" t="s">
        <v>26</v>
      </c>
      <c r="E314">
        <v>33</v>
      </c>
      <c r="F314">
        <v>183</v>
      </c>
      <c r="G314">
        <v>91</v>
      </c>
      <c r="H314">
        <v>27.2</v>
      </c>
      <c r="I314">
        <v>111</v>
      </c>
      <c r="J314">
        <v>81</v>
      </c>
      <c r="K314">
        <v>79</v>
      </c>
      <c r="L314">
        <v>8.5</v>
      </c>
    </row>
    <row r="315" spans="1:12" x14ac:dyDescent="0.35">
      <c r="A315" t="s">
        <v>12</v>
      </c>
      <c r="B315" t="s">
        <v>25</v>
      </c>
      <c r="C315" t="s">
        <v>19</v>
      </c>
      <c r="D315" t="s">
        <v>18</v>
      </c>
      <c r="E315">
        <v>24</v>
      </c>
      <c r="F315">
        <v>156</v>
      </c>
      <c r="G315">
        <v>78</v>
      </c>
      <c r="H315">
        <v>32.1</v>
      </c>
      <c r="I315">
        <v>126</v>
      </c>
      <c r="J315">
        <v>78</v>
      </c>
      <c r="K315">
        <v>72</v>
      </c>
      <c r="L315">
        <v>9.4</v>
      </c>
    </row>
    <row r="316" spans="1:12" x14ac:dyDescent="0.35">
      <c r="A316" t="s">
        <v>12</v>
      </c>
      <c r="B316" t="s">
        <v>21</v>
      </c>
      <c r="C316" t="s">
        <v>14</v>
      </c>
      <c r="D316" t="s">
        <v>18</v>
      </c>
      <c r="E316">
        <v>39</v>
      </c>
      <c r="F316">
        <v>177</v>
      </c>
      <c r="G316">
        <v>73</v>
      </c>
      <c r="H316">
        <v>23.3</v>
      </c>
      <c r="I316">
        <v>121</v>
      </c>
      <c r="J316">
        <v>76</v>
      </c>
      <c r="K316">
        <v>88</v>
      </c>
      <c r="L316">
        <v>8</v>
      </c>
    </row>
    <row r="317" spans="1:12" x14ac:dyDescent="0.35">
      <c r="A317" t="s">
        <v>16</v>
      </c>
      <c r="B317" t="s">
        <v>22</v>
      </c>
      <c r="C317" t="s">
        <v>14</v>
      </c>
      <c r="D317" t="s">
        <v>26</v>
      </c>
      <c r="E317">
        <v>42</v>
      </c>
      <c r="F317">
        <v>173</v>
      </c>
      <c r="G317">
        <v>79</v>
      </c>
      <c r="H317">
        <v>26.4</v>
      </c>
      <c r="I317">
        <v>144</v>
      </c>
      <c r="J317">
        <v>78</v>
      </c>
      <c r="K317">
        <v>67</v>
      </c>
      <c r="L317">
        <v>8.3000000000000007</v>
      </c>
    </row>
    <row r="318" spans="1:12" x14ac:dyDescent="0.35">
      <c r="A318" t="s">
        <v>12</v>
      </c>
      <c r="B318" t="s">
        <v>25</v>
      </c>
      <c r="C318" t="s">
        <v>19</v>
      </c>
      <c r="D318" t="s">
        <v>18</v>
      </c>
      <c r="E318">
        <v>36</v>
      </c>
      <c r="F318">
        <v>185</v>
      </c>
      <c r="G318">
        <v>75</v>
      </c>
      <c r="H318">
        <v>21.9</v>
      </c>
      <c r="I318">
        <v>110</v>
      </c>
      <c r="J318">
        <v>82</v>
      </c>
      <c r="K318">
        <v>68</v>
      </c>
      <c r="L318">
        <v>8.9</v>
      </c>
    </row>
    <row r="319" spans="1:12" x14ac:dyDescent="0.35">
      <c r="A319" t="s">
        <v>12</v>
      </c>
      <c r="B319" t="s">
        <v>22</v>
      </c>
      <c r="C319" t="s">
        <v>23</v>
      </c>
      <c r="D319" t="s">
        <v>20</v>
      </c>
      <c r="E319">
        <v>54</v>
      </c>
      <c r="F319">
        <v>159</v>
      </c>
      <c r="G319">
        <v>66</v>
      </c>
      <c r="H319">
        <v>26.1</v>
      </c>
      <c r="I319">
        <v>124</v>
      </c>
      <c r="J319">
        <v>87</v>
      </c>
      <c r="K319">
        <v>75</v>
      </c>
      <c r="L319">
        <v>8.9</v>
      </c>
    </row>
    <row r="320" spans="1:12" x14ac:dyDescent="0.35">
      <c r="A320" t="s">
        <v>12</v>
      </c>
      <c r="B320" t="s">
        <v>24</v>
      </c>
      <c r="C320" t="s">
        <v>14</v>
      </c>
      <c r="D320" t="s">
        <v>18</v>
      </c>
      <c r="E320">
        <v>56</v>
      </c>
      <c r="F320">
        <v>173</v>
      </c>
      <c r="G320">
        <v>95</v>
      </c>
      <c r="H320">
        <v>31.7</v>
      </c>
      <c r="I320">
        <v>135</v>
      </c>
      <c r="J320">
        <v>74</v>
      </c>
      <c r="K320">
        <v>78</v>
      </c>
      <c r="L320">
        <v>7.6</v>
      </c>
    </row>
    <row r="321" spans="1:12" x14ac:dyDescent="0.35">
      <c r="A321" t="s">
        <v>16</v>
      </c>
      <c r="B321" t="s">
        <v>22</v>
      </c>
      <c r="C321" t="s">
        <v>14</v>
      </c>
      <c r="D321" t="s">
        <v>20</v>
      </c>
      <c r="E321">
        <v>47</v>
      </c>
      <c r="F321">
        <v>188</v>
      </c>
      <c r="G321">
        <v>87</v>
      </c>
      <c r="H321">
        <v>24.6</v>
      </c>
      <c r="I321">
        <v>146</v>
      </c>
      <c r="J321">
        <v>82</v>
      </c>
      <c r="K321">
        <v>75</v>
      </c>
      <c r="L321">
        <v>9.9</v>
      </c>
    </row>
    <row r="322" spans="1:12" x14ac:dyDescent="0.35">
      <c r="A322" t="s">
        <v>16</v>
      </c>
      <c r="B322" t="s">
        <v>22</v>
      </c>
      <c r="C322" t="s">
        <v>14</v>
      </c>
      <c r="D322" t="s">
        <v>20</v>
      </c>
      <c r="E322">
        <v>29</v>
      </c>
      <c r="F322">
        <v>164</v>
      </c>
      <c r="G322">
        <v>58</v>
      </c>
      <c r="H322">
        <v>21.6</v>
      </c>
      <c r="I322">
        <v>130</v>
      </c>
      <c r="J322">
        <v>73</v>
      </c>
      <c r="K322">
        <v>66</v>
      </c>
      <c r="L322">
        <v>9.1999999999999993</v>
      </c>
    </row>
    <row r="323" spans="1:12" x14ac:dyDescent="0.35">
      <c r="A323" t="s">
        <v>12</v>
      </c>
      <c r="B323" t="s">
        <v>13</v>
      </c>
      <c r="C323" t="s">
        <v>14</v>
      </c>
      <c r="D323" t="s">
        <v>20</v>
      </c>
      <c r="E323">
        <v>57</v>
      </c>
      <c r="F323">
        <v>179</v>
      </c>
      <c r="G323">
        <v>96</v>
      </c>
      <c r="H323">
        <v>30</v>
      </c>
      <c r="I323">
        <v>140</v>
      </c>
      <c r="J323">
        <v>71</v>
      </c>
      <c r="K323">
        <v>73</v>
      </c>
      <c r="L323">
        <v>8.6999999999999993</v>
      </c>
    </row>
    <row r="324" spans="1:12" x14ac:dyDescent="0.35">
      <c r="A324" t="s">
        <v>16</v>
      </c>
      <c r="B324" t="s">
        <v>13</v>
      </c>
      <c r="C324" t="s">
        <v>23</v>
      </c>
      <c r="D324" t="s">
        <v>15</v>
      </c>
      <c r="E324">
        <v>51</v>
      </c>
      <c r="F324">
        <v>156</v>
      </c>
      <c r="G324">
        <v>61</v>
      </c>
      <c r="H324">
        <v>25.1</v>
      </c>
      <c r="I324">
        <v>134</v>
      </c>
      <c r="J324">
        <v>85</v>
      </c>
      <c r="K324">
        <v>87</v>
      </c>
      <c r="L324">
        <v>9.8000000000000007</v>
      </c>
    </row>
    <row r="325" spans="1:12" x14ac:dyDescent="0.35">
      <c r="A325" t="s">
        <v>16</v>
      </c>
      <c r="B325" t="s">
        <v>17</v>
      </c>
      <c r="C325" t="s">
        <v>19</v>
      </c>
      <c r="D325" t="s">
        <v>18</v>
      </c>
      <c r="E325">
        <v>44</v>
      </c>
      <c r="F325">
        <v>165</v>
      </c>
      <c r="G325">
        <v>76</v>
      </c>
      <c r="H325">
        <v>27.9</v>
      </c>
      <c r="I325">
        <v>132</v>
      </c>
      <c r="J325">
        <v>78</v>
      </c>
      <c r="K325">
        <v>73</v>
      </c>
      <c r="L325">
        <v>8.6</v>
      </c>
    </row>
    <row r="326" spans="1:12" x14ac:dyDescent="0.35">
      <c r="A326" t="s">
        <v>16</v>
      </c>
      <c r="B326" t="s">
        <v>13</v>
      </c>
      <c r="C326" t="s">
        <v>19</v>
      </c>
      <c r="D326" t="s">
        <v>26</v>
      </c>
      <c r="E326">
        <v>35</v>
      </c>
      <c r="F326">
        <v>185</v>
      </c>
      <c r="G326">
        <v>87</v>
      </c>
      <c r="H326">
        <v>25.4</v>
      </c>
      <c r="I326">
        <v>133</v>
      </c>
      <c r="J326">
        <v>78</v>
      </c>
      <c r="K326">
        <v>84</v>
      </c>
      <c r="L326">
        <v>10</v>
      </c>
    </row>
    <row r="327" spans="1:12" x14ac:dyDescent="0.35">
      <c r="A327" t="s">
        <v>16</v>
      </c>
      <c r="B327" t="s">
        <v>22</v>
      </c>
      <c r="C327" t="s">
        <v>14</v>
      </c>
      <c r="D327" t="s">
        <v>26</v>
      </c>
      <c r="E327">
        <v>35</v>
      </c>
      <c r="F327">
        <v>169</v>
      </c>
      <c r="G327">
        <v>71</v>
      </c>
      <c r="H327">
        <v>24.9</v>
      </c>
      <c r="I327">
        <v>147</v>
      </c>
      <c r="J327">
        <v>75</v>
      </c>
      <c r="K327">
        <v>86</v>
      </c>
      <c r="L327">
        <v>8.8000000000000007</v>
      </c>
    </row>
    <row r="328" spans="1:12" x14ac:dyDescent="0.35">
      <c r="A328" t="s">
        <v>12</v>
      </c>
      <c r="B328" t="s">
        <v>21</v>
      </c>
      <c r="C328" t="s">
        <v>14</v>
      </c>
      <c r="D328" t="s">
        <v>18</v>
      </c>
      <c r="E328">
        <v>23</v>
      </c>
      <c r="F328">
        <v>163</v>
      </c>
      <c r="G328">
        <v>78</v>
      </c>
      <c r="H328">
        <v>29.4</v>
      </c>
      <c r="I328">
        <v>137</v>
      </c>
      <c r="J328">
        <v>80</v>
      </c>
      <c r="K328">
        <v>63</v>
      </c>
      <c r="L328">
        <v>7.8</v>
      </c>
    </row>
    <row r="329" spans="1:12" x14ac:dyDescent="0.35">
      <c r="A329" t="s">
        <v>12</v>
      </c>
      <c r="B329" t="s">
        <v>22</v>
      </c>
      <c r="C329" t="s">
        <v>19</v>
      </c>
      <c r="D329" t="s">
        <v>15</v>
      </c>
      <c r="E329">
        <v>58</v>
      </c>
      <c r="F329">
        <v>177</v>
      </c>
      <c r="G329">
        <v>88</v>
      </c>
      <c r="H329">
        <v>28.1</v>
      </c>
      <c r="I329">
        <v>130</v>
      </c>
      <c r="J329">
        <v>91</v>
      </c>
      <c r="K329">
        <v>85</v>
      </c>
      <c r="L329">
        <v>9.4</v>
      </c>
    </row>
    <row r="330" spans="1:12" x14ac:dyDescent="0.35">
      <c r="A330" t="s">
        <v>16</v>
      </c>
      <c r="B330" t="s">
        <v>21</v>
      </c>
      <c r="C330" t="s">
        <v>23</v>
      </c>
      <c r="D330" t="s">
        <v>15</v>
      </c>
      <c r="E330">
        <v>26</v>
      </c>
      <c r="F330">
        <v>173</v>
      </c>
      <c r="G330">
        <v>82</v>
      </c>
      <c r="H330">
        <v>27.4</v>
      </c>
      <c r="I330">
        <v>127</v>
      </c>
      <c r="J330">
        <v>93</v>
      </c>
      <c r="K330">
        <v>74</v>
      </c>
      <c r="L330">
        <v>9.1999999999999993</v>
      </c>
    </row>
    <row r="331" spans="1:12" x14ac:dyDescent="0.35">
      <c r="A331" t="s">
        <v>16</v>
      </c>
      <c r="B331" t="s">
        <v>21</v>
      </c>
      <c r="C331" t="s">
        <v>14</v>
      </c>
      <c r="D331" t="s">
        <v>20</v>
      </c>
      <c r="E331">
        <v>59</v>
      </c>
      <c r="F331">
        <v>163</v>
      </c>
      <c r="G331">
        <v>97</v>
      </c>
      <c r="H331">
        <v>36.5</v>
      </c>
      <c r="I331">
        <v>145</v>
      </c>
      <c r="J331">
        <v>91</v>
      </c>
      <c r="K331">
        <v>62</v>
      </c>
      <c r="L331">
        <v>9.4</v>
      </c>
    </row>
    <row r="332" spans="1:12" x14ac:dyDescent="0.35">
      <c r="A332" t="s">
        <v>12</v>
      </c>
      <c r="B332" t="s">
        <v>13</v>
      </c>
      <c r="C332" t="s">
        <v>19</v>
      </c>
      <c r="D332" t="s">
        <v>18</v>
      </c>
      <c r="E332">
        <v>35</v>
      </c>
      <c r="F332">
        <v>189</v>
      </c>
      <c r="G332">
        <v>95</v>
      </c>
      <c r="H332">
        <v>26.6</v>
      </c>
      <c r="I332">
        <v>144</v>
      </c>
      <c r="J332">
        <v>70</v>
      </c>
      <c r="K332">
        <v>64</v>
      </c>
      <c r="L332">
        <v>9.9</v>
      </c>
    </row>
    <row r="333" spans="1:12" x14ac:dyDescent="0.35">
      <c r="A333" t="s">
        <v>12</v>
      </c>
      <c r="B333" t="s">
        <v>25</v>
      </c>
      <c r="C333" t="s">
        <v>23</v>
      </c>
      <c r="D333" t="s">
        <v>18</v>
      </c>
      <c r="E333">
        <v>46</v>
      </c>
      <c r="F333">
        <v>175</v>
      </c>
      <c r="G333">
        <v>93</v>
      </c>
      <c r="H333">
        <v>30.4</v>
      </c>
      <c r="I333">
        <v>118</v>
      </c>
      <c r="J333">
        <v>73</v>
      </c>
      <c r="K333">
        <v>60</v>
      </c>
      <c r="L333">
        <v>9.4</v>
      </c>
    </row>
    <row r="334" spans="1:12" x14ac:dyDescent="0.35">
      <c r="A334" t="s">
        <v>16</v>
      </c>
      <c r="B334" t="s">
        <v>24</v>
      </c>
      <c r="C334" t="s">
        <v>14</v>
      </c>
      <c r="D334" t="s">
        <v>26</v>
      </c>
      <c r="E334">
        <v>41</v>
      </c>
      <c r="F334">
        <v>163</v>
      </c>
      <c r="G334">
        <v>76</v>
      </c>
      <c r="H334">
        <v>28.6</v>
      </c>
      <c r="I334">
        <v>147</v>
      </c>
      <c r="J334">
        <v>82</v>
      </c>
      <c r="K334">
        <v>62</v>
      </c>
      <c r="L334">
        <v>9</v>
      </c>
    </row>
    <row r="335" spans="1:12" x14ac:dyDescent="0.35">
      <c r="A335" t="s">
        <v>12</v>
      </c>
      <c r="B335" t="s">
        <v>13</v>
      </c>
      <c r="C335" t="s">
        <v>14</v>
      </c>
      <c r="D335" t="s">
        <v>18</v>
      </c>
      <c r="E335">
        <v>23</v>
      </c>
      <c r="F335">
        <v>182</v>
      </c>
      <c r="G335">
        <v>71</v>
      </c>
      <c r="H335">
        <v>21.4</v>
      </c>
      <c r="I335">
        <v>139</v>
      </c>
      <c r="J335">
        <v>92</v>
      </c>
      <c r="K335">
        <v>74</v>
      </c>
      <c r="L335">
        <v>9.6</v>
      </c>
    </row>
    <row r="336" spans="1:12" x14ac:dyDescent="0.35">
      <c r="A336" t="s">
        <v>16</v>
      </c>
      <c r="B336" t="s">
        <v>13</v>
      </c>
      <c r="C336" t="s">
        <v>14</v>
      </c>
      <c r="D336" t="s">
        <v>15</v>
      </c>
      <c r="E336">
        <v>27</v>
      </c>
      <c r="F336">
        <v>161</v>
      </c>
      <c r="G336">
        <v>88</v>
      </c>
      <c r="H336">
        <v>33.9</v>
      </c>
      <c r="I336">
        <v>143</v>
      </c>
      <c r="J336">
        <v>82</v>
      </c>
      <c r="K336">
        <v>83</v>
      </c>
      <c r="L336">
        <v>9.1999999999999993</v>
      </c>
    </row>
    <row r="337" spans="1:12" x14ac:dyDescent="0.35">
      <c r="A337" t="s">
        <v>16</v>
      </c>
      <c r="B337" t="s">
        <v>25</v>
      </c>
      <c r="C337" t="s">
        <v>14</v>
      </c>
      <c r="D337" t="s">
        <v>18</v>
      </c>
      <c r="E337">
        <v>38</v>
      </c>
      <c r="F337">
        <v>170</v>
      </c>
      <c r="G337">
        <v>60</v>
      </c>
      <c r="H337">
        <v>20.8</v>
      </c>
      <c r="I337">
        <v>141</v>
      </c>
      <c r="J337">
        <v>82</v>
      </c>
      <c r="K337">
        <v>86</v>
      </c>
      <c r="L337">
        <v>8.5</v>
      </c>
    </row>
    <row r="338" spans="1:12" x14ac:dyDescent="0.35">
      <c r="A338" t="s">
        <v>12</v>
      </c>
      <c r="B338" t="s">
        <v>24</v>
      </c>
      <c r="C338" t="s">
        <v>14</v>
      </c>
      <c r="D338" t="s">
        <v>26</v>
      </c>
      <c r="E338">
        <v>46</v>
      </c>
      <c r="F338">
        <v>170</v>
      </c>
      <c r="G338">
        <v>60</v>
      </c>
      <c r="H338">
        <v>20.8</v>
      </c>
      <c r="I338">
        <v>112</v>
      </c>
      <c r="J338">
        <v>71</v>
      </c>
      <c r="K338">
        <v>67</v>
      </c>
      <c r="L338">
        <v>9.6999999999999993</v>
      </c>
    </row>
    <row r="339" spans="1:12" x14ac:dyDescent="0.35">
      <c r="A339" t="s">
        <v>12</v>
      </c>
      <c r="B339" t="s">
        <v>22</v>
      </c>
      <c r="C339" t="s">
        <v>23</v>
      </c>
      <c r="D339" t="s">
        <v>20</v>
      </c>
      <c r="E339">
        <v>49</v>
      </c>
      <c r="F339">
        <v>187</v>
      </c>
      <c r="G339">
        <v>88</v>
      </c>
      <c r="H339">
        <v>25.2</v>
      </c>
      <c r="I339">
        <v>112</v>
      </c>
      <c r="J339">
        <v>78</v>
      </c>
      <c r="K339">
        <v>88</v>
      </c>
      <c r="L339">
        <v>8.1</v>
      </c>
    </row>
    <row r="340" spans="1:12" x14ac:dyDescent="0.35">
      <c r="A340" t="s">
        <v>16</v>
      </c>
      <c r="B340" t="s">
        <v>17</v>
      </c>
      <c r="C340" t="s">
        <v>14</v>
      </c>
      <c r="D340" t="s">
        <v>26</v>
      </c>
      <c r="E340">
        <v>23</v>
      </c>
      <c r="F340">
        <v>158</v>
      </c>
      <c r="G340">
        <v>55</v>
      </c>
      <c r="H340">
        <v>22</v>
      </c>
      <c r="I340">
        <v>137</v>
      </c>
      <c r="J340">
        <v>93</v>
      </c>
      <c r="K340">
        <v>63</v>
      </c>
      <c r="L340">
        <v>9.3000000000000007</v>
      </c>
    </row>
    <row r="341" spans="1:12" x14ac:dyDescent="0.35">
      <c r="A341" t="s">
        <v>16</v>
      </c>
      <c r="B341" t="s">
        <v>17</v>
      </c>
      <c r="C341" t="s">
        <v>14</v>
      </c>
      <c r="D341" t="s">
        <v>26</v>
      </c>
      <c r="E341">
        <v>56</v>
      </c>
      <c r="F341">
        <v>158</v>
      </c>
      <c r="G341">
        <v>64</v>
      </c>
      <c r="H341">
        <v>25.6</v>
      </c>
      <c r="I341">
        <v>124</v>
      </c>
      <c r="J341">
        <v>77</v>
      </c>
      <c r="K341">
        <v>61</v>
      </c>
      <c r="L341">
        <v>9.6999999999999993</v>
      </c>
    </row>
    <row r="342" spans="1:12" x14ac:dyDescent="0.35">
      <c r="A342" t="s">
        <v>12</v>
      </c>
      <c r="B342" t="s">
        <v>22</v>
      </c>
      <c r="C342" t="s">
        <v>14</v>
      </c>
      <c r="D342" t="s">
        <v>20</v>
      </c>
      <c r="E342">
        <v>58</v>
      </c>
      <c r="F342">
        <v>171</v>
      </c>
      <c r="G342">
        <v>75</v>
      </c>
      <c r="H342">
        <v>25.6</v>
      </c>
      <c r="I342">
        <v>132</v>
      </c>
      <c r="J342">
        <v>76</v>
      </c>
      <c r="K342">
        <v>88</v>
      </c>
      <c r="L342">
        <v>9.3000000000000007</v>
      </c>
    </row>
    <row r="343" spans="1:12" x14ac:dyDescent="0.35">
      <c r="A343" t="s">
        <v>16</v>
      </c>
      <c r="B343" t="s">
        <v>13</v>
      </c>
      <c r="C343" t="s">
        <v>14</v>
      </c>
      <c r="D343" t="s">
        <v>26</v>
      </c>
      <c r="E343">
        <v>26</v>
      </c>
      <c r="F343">
        <v>183</v>
      </c>
      <c r="G343">
        <v>59</v>
      </c>
      <c r="H343">
        <v>17.600000000000001</v>
      </c>
      <c r="I343">
        <v>149</v>
      </c>
      <c r="J343">
        <v>73</v>
      </c>
      <c r="K343">
        <v>83</v>
      </c>
      <c r="L343">
        <v>9.1999999999999993</v>
      </c>
    </row>
    <row r="344" spans="1:12" x14ac:dyDescent="0.35">
      <c r="A344" t="s">
        <v>12</v>
      </c>
      <c r="B344" t="s">
        <v>24</v>
      </c>
      <c r="C344" t="s">
        <v>19</v>
      </c>
      <c r="D344" t="s">
        <v>26</v>
      </c>
      <c r="E344">
        <v>22</v>
      </c>
      <c r="F344">
        <v>189</v>
      </c>
      <c r="G344">
        <v>56</v>
      </c>
      <c r="H344">
        <v>15.7</v>
      </c>
      <c r="I344">
        <v>120</v>
      </c>
      <c r="J344">
        <v>87</v>
      </c>
      <c r="K344">
        <v>83</v>
      </c>
      <c r="L344">
        <v>9.4</v>
      </c>
    </row>
    <row r="345" spans="1:12" x14ac:dyDescent="0.35">
      <c r="A345" t="s">
        <v>16</v>
      </c>
      <c r="B345" t="s">
        <v>13</v>
      </c>
      <c r="C345" t="s">
        <v>14</v>
      </c>
      <c r="D345" t="s">
        <v>18</v>
      </c>
      <c r="E345">
        <v>33</v>
      </c>
      <c r="F345">
        <v>161</v>
      </c>
      <c r="G345">
        <v>76</v>
      </c>
      <c r="H345">
        <v>29.3</v>
      </c>
      <c r="I345">
        <v>141</v>
      </c>
      <c r="J345">
        <v>72</v>
      </c>
      <c r="K345">
        <v>69</v>
      </c>
      <c r="L345">
        <v>8.6999999999999993</v>
      </c>
    </row>
    <row r="346" spans="1:12" x14ac:dyDescent="0.35">
      <c r="A346" t="s">
        <v>12</v>
      </c>
      <c r="B346" t="s">
        <v>21</v>
      </c>
      <c r="C346" t="s">
        <v>14</v>
      </c>
      <c r="D346" t="s">
        <v>18</v>
      </c>
      <c r="E346">
        <v>57</v>
      </c>
      <c r="F346">
        <v>181</v>
      </c>
      <c r="G346">
        <v>56</v>
      </c>
      <c r="H346">
        <v>17.100000000000001</v>
      </c>
      <c r="I346">
        <v>145</v>
      </c>
      <c r="J346">
        <v>75</v>
      </c>
      <c r="K346">
        <v>63</v>
      </c>
      <c r="L346">
        <v>9.6999999999999993</v>
      </c>
    </row>
    <row r="347" spans="1:12" x14ac:dyDescent="0.35">
      <c r="A347" t="s">
        <v>12</v>
      </c>
      <c r="B347" t="s">
        <v>13</v>
      </c>
      <c r="C347" t="s">
        <v>23</v>
      </c>
      <c r="D347" t="s">
        <v>20</v>
      </c>
      <c r="E347">
        <v>44</v>
      </c>
      <c r="F347">
        <v>182</v>
      </c>
      <c r="G347">
        <v>64</v>
      </c>
      <c r="H347">
        <v>19.3</v>
      </c>
      <c r="I347">
        <v>142</v>
      </c>
      <c r="J347">
        <v>81</v>
      </c>
      <c r="K347">
        <v>62</v>
      </c>
      <c r="L347">
        <v>8</v>
      </c>
    </row>
    <row r="348" spans="1:12" x14ac:dyDescent="0.35">
      <c r="A348" t="s">
        <v>12</v>
      </c>
      <c r="B348" t="s">
        <v>13</v>
      </c>
      <c r="C348" t="s">
        <v>14</v>
      </c>
      <c r="D348" t="s">
        <v>18</v>
      </c>
      <c r="E348">
        <v>52</v>
      </c>
      <c r="F348">
        <v>176</v>
      </c>
      <c r="G348">
        <v>88</v>
      </c>
      <c r="H348">
        <v>28.4</v>
      </c>
      <c r="I348">
        <v>133</v>
      </c>
      <c r="J348">
        <v>81</v>
      </c>
      <c r="K348">
        <v>61</v>
      </c>
      <c r="L348">
        <v>7.8</v>
      </c>
    </row>
    <row r="349" spans="1:12" x14ac:dyDescent="0.35">
      <c r="A349" t="s">
        <v>16</v>
      </c>
      <c r="B349" t="s">
        <v>22</v>
      </c>
      <c r="C349" t="s">
        <v>14</v>
      </c>
      <c r="D349" t="s">
        <v>18</v>
      </c>
      <c r="E349">
        <v>32</v>
      </c>
      <c r="F349">
        <v>168</v>
      </c>
      <c r="G349">
        <v>70</v>
      </c>
      <c r="H349">
        <v>24.8</v>
      </c>
      <c r="I349">
        <v>148</v>
      </c>
      <c r="J349">
        <v>90</v>
      </c>
      <c r="K349">
        <v>84</v>
      </c>
      <c r="L349">
        <v>8.1999999999999993</v>
      </c>
    </row>
    <row r="350" spans="1:12" x14ac:dyDescent="0.35">
      <c r="A350" t="s">
        <v>16</v>
      </c>
      <c r="B350" t="s">
        <v>22</v>
      </c>
      <c r="C350" t="s">
        <v>14</v>
      </c>
      <c r="D350" t="s">
        <v>26</v>
      </c>
      <c r="E350">
        <v>31</v>
      </c>
      <c r="F350">
        <v>161</v>
      </c>
      <c r="G350">
        <v>93</v>
      </c>
      <c r="H350">
        <v>35.9</v>
      </c>
      <c r="I350">
        <v>143</v>
      </c>
      <c r="J350">
        <v>77</v>
      </c>
      <c r="K350">
        <v>76</v>
      </c>
      <c r="L350">
        <v>8.8000000000000007</v>
      </c>
    </row>
    <row r="351" spans="1:12" x14ac:dyDescent="0.35">
      <c r="A351" t="s">
        <v>12</v>
      </c>
      <c r="B351" t="s">
        <v>22</v>
      </c>
      <c r="C351" t="s">
        <v>14</v>
      </c>
      <c r="D351" t="s">
        <v>15</v>
      </c>
      <c r="E351">
        <v>24</v>
      </c>
      <c r="F351">
        <v>176</v>
      </c>
      <c r="G351">
        <v>76</v>
      </c>
      <c r="H351">
        <v>24.5</v>
      </c>
      <c r="I351">
        <v>137</v>
      </c>
      <c r="J351">
        <v>91</v>
      </c>
      <c r="K351">
        <v>82</v>
      </c>
      <c r="L351">
        <v>8.8000000000000007</v>
      </c>
    </row>
    <row r="352" spans="1:12" x14ac:dyDescent="0.35">
      <c r="A352" t="s">
        <v>16</v>
      </c>
      <c r="B352" t="s">
        <v>17</v>
      </c>
      <c r="C352" t="s">
        <v>14</v>
      </c>
      <c r="D352" t="s">
        <v>18</v>
      </c>
      <c r="E352">
        <v>35</v>
      </c>
      <c r="F352">
        <v>159</v>
      </c>
      <c r="G352">
        <v>66</v>
      </c>
      <c r="H352">
        <v>26.1</v>
      </c>
      <c r="I352">
        <v>146</v>
      </c>
      <c r="J352">
        <v>91</v>
      </c>
      <c r="K352">
        <v>80</v>
      </c>
      <c r="L352">
        <v>9.6</v>
      </c>
    </row>
    <row r="353" spans="1:12" x14ac:dyDescent="0.35">
      <c r="A353" t="s">
        <v>12</v>
      </c>
      <c r="B353" t="s">
        <v>21</v>
      </c>
      <c r="C353" t="s">
        <v>14</v>
      </c>
      <c r="D353" t="s">
        <v>15</v>
      </c>
      <c r="E353">
        <v>37</v>
      </c>
      <c r="F353">
        <v>156</v>
      </c>
      <c r="G353">
        <v>78</v>
      </c>
      <c r="H353">
        <v>32.1</v>
      </c>
      <c r="I353">
        <v>116</v>
      </c>
      <c r="J353">
        <v>70</v>
      </c>
      <c r="K353">
        <v>83</v>
      </c>
      <c r="L353">
        <v>8.5</v>
      </c>
    </row>
    <row r="354" spans="1:12" x14ac:dyDescent="0.35">
      <c r="A354" t="s">
        <v>12</v>
      </c>
      <c r="B354" t="s">
        <v>22</v>
      </c>
      <c r="C354" t="s">
        <v>14</v>
      </c>
      <c r="D354" t="s">
        <v>18</v>
      </c>
      <c r="E354">
        <v>31</v>
      </c>
      <c r="F354">
        <v>181</v>
      </c>
      <c r="G354">
        <v>94</v>
      </c>
      <c r="H354">
        <v>28.7</v>
      </c>
      <c r="I354">
        <v>113</v>
      </c>
      <c r="J354">
        <v>73</v>
      </c>
      <c r="K354">
        <v>79</v>
      </c>
      <c r="L354">
        <v>8.6999999999999993</v>
      </c>
    </row>
    <row r="355" spans="1:12" x14ac:dyDescent="0.35">
      <c r="A355" t="s">
        <v>16</v>
      </c>
      <c r="B355" t="s">
        <v>24</v>
      </c>
      <c r="C355" t="s">
        <v>19</v>
      </c>
      <c r="D355" t="s">
        <v>18</v>
      </c>
      <c r="E355">
        <v>50</v>
      </c>
      <c r="F355">
        <v>175</v>
      </c>
      <c r="G355">
        <v>92</v>
      </c>
      <c r="H355">
        <v>30</v>
      </c>
      <c r="I355">
        <v>146</v>
      </c>
      <c r="J355">
        <v>90</v>
      </c>
      <c r="K355">
        <v>82</v>
      </c>
      <c r="L355">
        <v>7.5</v>
      </c>
    </row>
    <row r="356" spans="1:12" x14ac:dyDescent="0.35">
      <c r="A356" t="s">
        <v>16</v>
      </c>
      <c r="B356" t="s">
        <v>17</v>
      </c>
      <c r="C356" t="s">
        <v>14</v>
      </c>
      <c r="D356" t="s">
        <v>20</v>
      </c>
      <c r="E356">
        <v>31</v>
      </c>
      <c r="F356">
        <v>169</v>
      </c>
      <c r="G356">
        <v>64</v>
      </c>
      <c r="H356">
        <v>22.4</v>
      </c>
      <c r="I356">
        <v>110</v>
      </c>
      <c r="J356">
        <v>80</v>
      </c>
      <c r="K356">
        <v>72</v>
      </c>
      <c r="L356">
        <v>8.5</v>
      </c>
    </row>
    <row r="357" spans="1:12" x14ac:dyDescent="0.35">
      <c r="A357" t="s">
        <v>12</v>
      </c>
      <c r="B357" t="s">
        <v>25</v>
      </c>
      <c r="C357" t="s">
        <v>14</v>
      </c>
      <c r="D357" t="s">
        <v>20</v>
      </c>
      <c r="E357">
        <v>33</v>
      </c>
      <c r="F357">
        <v>175</v>
      </c>
      <c r="G357">
        <v>89</v>
      </c>
      <c r="H357">
        <v>29.1</v>
      </c>
      <c r="I357">
        <v>110</v>
      </c>
      <c r="J357">
        <v>72</v>
      </c>
      <c r="K357">
        <v>64</v>
      </c>
      <c r="L357">
        <v>9.1</v>
      </c>
    </row>
    <row r="358" spans="1:12" x14ac:dyDescent="0.35">
      <c r="A358" t="s">
        <v>16</v>
      </c>
      <c r="B358" t="s">
        <v>24</v>
      </c>
      <c r="C358" t="s">
        <v>14</v>
      </c>
      <c r="D358" t="s">
        <v>20</v>
      </c>
      <c r="E358">
        <v>51</v>
      </c>
      <c r="F358">
        <v>164</v>
      </c>
      <c r="G358">
        <v>86</v>
      </c>
      <c r="H358">
        <v>32</v>
      </c>
      <c r="I358">
        <v>129</v>
      </c>
      <c r="J358">
        <v>82</v>
      </c>
      <c r="K358">
        <v>89</v>
      </c>
      <c r="L358">
        <v>7.5</v>
      </c>
    </row>
    <row r="359" spans="1:12" x14ac:dyDescent="0.35">
      <c r="A359" t="s">
        <v>16</v>
      </c>
      <c r="B359" t="s">
        <v>24</v>
      </c>
      <c r="C359" t="s">
        <v>14</v>
      </c>
      <c r="D359" t="s">
        <v>15</v>
      </c>
      <c r="E359">
        <v>22</v>
      </c>
      <c r="F359">
        <v>177</v>
      </c>
      <c r="G359">
        <v>61</v>
      </c>
      <c r="H359">
        <v>19.5</v>
      </c>
      <c r="I359">
        <v>128</v>
      </c>
      <c r="J359">
        <v>94</v>
      </c>
      <c r="K359">
        <v>80</v>
      </c>
      <c r="L359">
        <v>8.1999999999999993</v>
      </c>
    </row>
    <row r="360" spans="1:12" x14ac:dyDescent="0.35">
      <c r="A360" t="s">
        <v>12</v>
      </c>
      <c r="B360" t="s">
        <v>22</v>
      </c>
      <c r="C360" t="s">
        <v>14</v>
      </c>
      <c r="D360" t="s">
        <v>26</v>
      </c>
      <c r="E360">
        <v>26</v>
      </c>
      <c r="F360">
        <v>159</v>
      </c>
      <c r="G360">
        <v>75</v>
      </c>
      <c r="H360">
        <v>29.7</v>
      </c>
      <c r="I360">
        <v>138</v>
      </c>
      <c r="J360">
        <v>86</v>
      </c>
      <c r="K360">
        <v>89</v>
      </c>
      <c r="L360">
        <v>8</v>
      </c>
    </row>
    <row r="361" spans="1:12" x14ac:dyDescent="0.35">
      <c r="A361" t="s">
        <v>12</v>
      </c>
      <c r="B361" t="s">
        <v>25</v>
      </c>
      <c r="C361" t="s">
        <v>14</v>
      </c>
      <c r="D361" t="s">
        <v>18</v>
      </c>
      <c r="E361">
        <v>41</v>
      </c>
      <c r="F361">
        <v>155</v>
      </c>
      <c r="G361">
        <v>74</v>
      </c>
      <c r="H361">
        <v>30.8</v>
      </c>
      <c r="I361">
        <v>119</v>
      </c>
      <c r="J361">
        <v>91</v>
      </c>
      <c r="K361">
        <v>68</v>
      </c>
      <c r="L361">
        <v>7.6</v>
      </c>
    </row>
    <row r="362" spans="1:12" x14ac:dyDescent="0.35">
      <c r="A362" t="s">
        <v>16</v>
      </c>
      <c r="B362" t="s">
        <v>25</v>
      </c>
      <c r="C362" t="s">
        <v>19</v>
      </c>
      <c r="D362" t="s">
        <v>18</v>
      </c>
      <c r="E362">
        <v>29</v>
      </c>
      <c r="F362">
        <v>167</v>
      </c>
      <c r="G362">
        <v>80</v>
      </c>
      <c r="H362">
        <v>28.7</v>
      </c>
      <c r="I362">
        <v>127</v>
      </c>
      <c r="J362">
        <v>91</v>
      </c>
      <c r="K362">
        <v>84</v>
      </c>
      <c r="L362">
        <v>8.6999999999999993</v>
      </c>
    </row>
    <row r="363" spans="1:12" x14ac:dyDescent="0.35">
      <c r="A363" t="s">
        <v>12</v>
      </c>
      <c r="B363" t="s">
        <v>17</v>
      </c>
      <c r="C363" t="s">
        <v>14</v>
      </c>
      <c r="D363" t="s">
        <v>18</v>
      </c>
      <c r="E363">
        <v>33</v>
      </c>
      <c r="F363">
        <v>175</v>
      </c>
      <c r="G363">
        <v>58</v>
      </c>
      <c r="H363">
        <v>18.899999999999999</v>
      </c>
      <c r="I363">
        <v>137</v>
      </c>
      <c r="J363">
        <v>79</v>
      </c>
      <c r="K363">
        <v>88</v>
      </c>
      <c r="L363">
        <v>8</v>
      </c>
    </row>
    <row r="364" spans="1:12" x14ac:dyDescent="0.35">
      <c r="A364" t="s">
        <v>12</v>
      </c>
      <c r="B364" t="s">
        <v>25</v>
      </c>
      <c r="C364" t="s">
        <v>14</v>
      </c>
      <c r="D364" t="s">
        <v>15</v>
      </c>
      <c r="E364">
        <v>22</v>
      </c>
      <c r="F364">
        <v>180</v>
      </c>
      <c r="G364">
        <v>76</v>
      </c>
      <c r="H364">
        <v>23.5</v>
      </c>
      <c r="I364">
        <v>144</v>
      </c>
      <c r="J364">
        <v>90</v>
      </c>
      <c r="K364">
        <v>84</v>
      </c>
      <c r="L364">
        <v>9.4</v>
      </c>
    </row>
    <row r="365" spans="1:12" x14ac:dyDescent="0.35">
      <c r="A365" t="s">
        <v>16</v>
      </c>
      <c r="B365" t="s">
        <v>21</v>
      </c>
      <c r="C365" t="s">
        <v>14</v>
      </c>
      <c r="D365" t="s">
        <v>20</v>
      </c>
      <c r="E365">
        <v>41</v>
      </c>
      <c r="F365">
        <v>175</v>
      </c>
      <c r="G365">
        <v>69</v>
      </c>
      <c r="H365">
        <v>22.5</v>
      </c>
      <c r="I365">
        <v>140</v>
      </c>
      <c r="J365">
        <v>81</v>
      </c>
      <c r="K365">
        <v>87</v>
      </c>
      <c r="L365">
        <v>9.6</v>
      </c>
    </row>
    <row r="366" spans="1:12" x14ac:dyDescent="0.35">
      <c r="A366" t="s">
        <v>12</v>
      </c>
      <c r="B366" t="s">
        <v>22</v>
      </c>
      <c r="C366" t="s">
        <v>19</v>
      </c>
      <c r="D366" t="s">
        <v>26</v>
      </c>
      <c r="E366">
        <v>49</v>
      </c>
      <c r="F366">
        <v>172</v>
      </c>
      <c r="G366">
        <v>94</v>
      </c>
      <c r="H366">
        <v>31.8</v>
      </c>
      <c r="I366">
        <v>136</v>
      </c>
      <c r="J366">
        <v>84</v>
      </c>
      <c r="K366">
        <v>81</v>
      </c>
      <c r="L366">
        <v>8.9</v>
      </c>
    </row>
    <row r="367" spans="1:12" x14ac:dyDescent="0.35">
      <c r="A367" t="s">
        <v>12</v>
      </c>
      <c r="B367" t="s">
        <v>25</v>
      </c>
      <c r="C367" t="s">
        <v>14</v>
      </c>
      <c r="D367" t="s">
        <v>15</v>
      </c>
      <c r="E367">
        <v>58</v>
      </c>
      <c r="F367">
        <v>186</v>
      </c>
      <c r="G367">
        <v>75</v>
      </c>
      <c r="H367">
        <v>21.7</v>
      </c>
      <c r="I367">
        <v>120</v>
      </c>
      <c r="J367">
        <v>90</v>
      </c>
      <c r="K367">
        <v>65</v>
      </c>
      <c r="L367">
        <v>10</v>
      </c>
    </row>
    <row r="368" spans="1:12" x14ac:dyDescent="0.35">
      <c r="A368" t="s">
        <v>16</v>
      </c>
      <c r="B368" t="s">
        <v>17</v>
      </c>
      <c r="C368" t="s">
        <v>14</v>
      </c>
      <c r="D368" t="s">
        <v>20</v>
      </c>
      <c r="E368">
        <v>58</v>
      </c>
      <c r="F368">
        <v>171</v>
      </c>
      <c r="G368">
        <v>69</v>
      </c>
      <c r="H368">
        <v>23.6</v>
      </c>
      <c r="I368">
        <v>147</v>
      </c>
      <c r="J368">
        <v>79</v>
      </c>
      <c r="K368">
        <v>64</v>
      </c>
      <c r="L368">
        <v>8.6</v>
      </c>
    </row>
    <row r="369" spans="1:12" x14ac:dyDescent="0.35">
      <c r="A369" t="s">
        <v>16</v>
      </c>
      <c r="B369" t="s">
        <v>21</v>
      </c>
      <c r="C369" t="s">
        <v>14</v>
      </c>
      <c r="D369" t="s">
        <v>15</v>
      </c>
      <c r="E369">
        <v>33</v>
      </c>
      <c r="F369">
        <v>189</v>
      </c>
      <c r="G369">
        <v>76</v>
      </c>
      <c r="H369">
        <v>21.3</v>
      </c>
      <c r="I369">
        <v>114</v>
      </c>
      <c r="J369">
        <v>83</v>
      </c>
      <c r="K369">
        <v>84</v>
      </c>
      <c r="L369">
        <v>8.8000000000000007</v>
      </c>
    </row>
    <row r="370" spans="1:12" x14ac:dyDescent="0.35">
      <c r="A370" t="s">
        <v>12</v>
      </c>
      <c r="B370" t="s">
        <v>13</v>
      </c>
      <c r="C370" t="s">
        <v>23</v>
      </c>
      <c r="D370" t="s">
        <v>26</v>
      </c>
      <c r="E370">
        <v>58</v>
      </c>
      <c r="F370">
        <v>165</v>
      </c>
      <c r="G370">
        <v>82</v>
      </c>
      <c r="H370">
        <v>30.1</v>
      </c>
      <c r="I370">
        <v>117</v>
      </c>
      <c r="J370">
        <v>82</v>
      </c>
      <c r="K370">
        <v>69</v>
      </c>
      <c r="L370">
        <v>10</v>
      </c>
    </row>
    <row r="371" spans="1:12" x14ac:dyDescent="0.35">
      <c r="A371" t="s">
        <v>12</v>
      </c>
      <c r="B371" t="s">
        <v>13</v>
      </c>
      <c r="C371" t="s">
        <v>14</v>
      </c>
      <c r="D371" t="s">
        <v>20</v>
      </c>
      <c r="E371">
        <v>49</v>
      </c>
      <c r="F371">
        <v>175</v>
      </c>
      <c r="G371">
        <v>68</v>
      </c>
      <c r="H371">
        <v>22.2</v>
      </c>
      <c r="I371">
        <v>143</v>
      </c>
      <c r="J371">
        <v>74</v>
      </c>
      <c r="K371">
        <v>67</v>
      </c>
      <c r="L371">
        <v>8.1</v>
      </c>
    </row>
    <row r="372" spans="1:12" x14ac:dyDescent="0.35">
      <c r="A372" t="s">
        <v>16</v>
      </c>
      <c r="B372" t="s">
        <v>21</v>
      </c>
      <c r="C372" t="s">
        <v>23</v>
      </c>
      <c r="D372" t="s">
        <v>15</v>
      </c>
      <c r="E372">
        <v>36</v>
      </c>
      <c r="F372">
        <v>180</v>
      </c>
      <c r="G372">
        <v>81</v>
      </c>
      <c r="H372">
        <v>25</v>
      </c>
      <c r="I372">
        <v>121</v>
      </c>
      <c r="J372">
        <v>75</v>
      </c>
      <c r="K372">
        <v>66</v>
      </c>
      <c r="L372">
        <v>9.9</v>
      </c>
    </row>
    <row r="373" spans="1:12" x14ac:dyDescent="0.35">
      <c r="A373" t="s">
        <v>16</v>
      </c>
      <c r="B373" t="s">
        <v>17</v>
      </c>
      <c r="C373" t="s">
        <v>14</v>
      </c>
      <c r="D373" t="s">
        <v>26</v>
      </c>
      <c r="E373">
        <v>27</v>
      </c>
      <c r="F373">
        <v>158</v>
      </c>
      <c r="G373">
        <v>95</v>
      </c>
      <c r="H373">
        <v>38.1</v>
      </c>
      <c r="I373">
        <v>147</v>
      </c>
      <c r="J373">
        <v>93</v>
      </c>
      <c r="K373">
        <v>66</v>
      </c>
      <c r="L373">
        <v>7.6</v>
      </c>
    </row>
    <row r="374" spans="1:12" x14ac:dyDescent="0.35">
      <c r="A374" t="s">
        <v>16</v>
      </c>
      <c r="B374" t="s">
        <v>21</v>
      </c>
      <c r="C374" t="s">
        <v>14</v>
      </c>
      <c r="D374" t="s">
        <v>18</v>
      </c>
      <c r="E374">
        <v>41</v>
      </c>
      <c r="F374">
        <v>188</v>
      </c>
      <c r="G374">
        <v>94</v>
      </c>
      <c r="H374">
        <v>26.6</v>
      </c>
      <c r="I374">
        <v>110</v>
      </c>
      <c r="J374">
        <v>71</v>
      </c>
      <c r="K374">
        <v>65</v>
      </c>
      <c r="L374">
        <v>8.6</v>
      </c>
    </row>
    <row r="375" spans="1:12" x14ac:dyDescent="0.35">
      <c r="A375" t="s">
        <v>16</v>
      </c>
      <c r="B375" t="s">
        <v>22</v>
      </c>
      <c r="C375" t="s">
        <v>14</v>
      </c>
      <c r="D375" t="s">
        <v>26</v>
      </c>
      <c r="E375">
        <v>35</v>
      </c>
      <c r="F375">
        <v>172</v>
      </c>
      <c r="G375">
        <v>82</v>
      </c>
      <c r="H375">
        <v>27.7</v>
      </c>
      <c r="I375">
        <v>140</v>
      </c>
      <c r="J375">
        <v>91</v>
      </c>
      <c r="K375">
        <v>80</v>
      </c>
      <c r="L375">
        <v>7.7</v>
      </c>
    </row>
    <row r="376" spans="1:12" x14ac:dyDescent="0.35">
      <c r="A376" t="s">
        <v>12</v>
      </c>
      <c r="B376" t="s">
        <v>22</v>
      </c>
      <c r="C376" t="s">
        <v>14</v>
      </c>
      <c r="D376" t="s">
        <v>18</v>
      </c>
      <c r="E376">
        <v>23</v>
      </c>
      <c r="F376">
        <v>189</v>
      </c>
      <c r="G376">
        <v>80</v>
      </c>
      <c r="H376">
        <v>22.4</v>
      </c>
      <c r="I376">
        <v>113</v>
      </c>
      <c r="J376">
        <v>86</v>
      </c>
      <c r="K376">
        <v>88</v>
      </c>
      <c r="L376">
        <v>9.3000000000000007</v>
      </c>
    </row>
    <row r="377" spans="1:12" x14ac:dyDescent="0.35">
      <c r="A377" t="s">
        <v>16</v>
      </c>
      <c r="B377" t="s">
        <v>13</v>
      </c>
      <c r="C377" t="s">
        <v>14</v>
      </c>
      <c r="D377" t="s">
        <v>15</v>
      </c>
      <c r="E377">
        <v>30</v>
      </c>
      <c r="F377">
        <v>183</v>
      </c>
      <c r="G377">
        <v>56</v>
      </c>
      <c r="H377">
        <v>16.7</v>
      </c>
      <c r="I377">
        <v>114</v>
      </c>
      <c r="J377">
        <v>73</v>
      </c>
      <c r="K377">
        <v>79</v>
      </c>
      <c r="L377">
        <v>9</v>
      </c>
    </row>
    <row r="378" spans="1:12" x14ac:dyDescent="0.35">
      <c r="A378" t="s">
        <v>16</v>
      </c>
      <c r="B378" t="s">
        <v>25</v>
      </c>
      <c r="C378" t="s">
        <v>14</v>
      </c>
      <c r="D378" t="s">
        <v>20</v>
      </c>
      <c r="E378">
        <v>58</v>
      </c>
      <c r="F378">
        <v>183</v>
      </c>
      <c r="G378">
        <v>79</v>
      </c>
      <c r="H378">
        <v>23.6</v>
      </c>
      <c r="I378">
        <v>139</v>
      </c>
      <c r="J378">
        <v>83</v>
      </c>
      <c r="K378">
        <v>62</v>
      </c>
      <c r="L378">
        <v>9.3000000000000007</v>
      </c>
    </row>
    <row r="379" spans="1:12" x14ac:dyDescent="0.35">
      <c r="A379" t="s">
        <v>12</v>
      </c>
      <c r="B379" t="s">
        <v>17</v>
      </c>
      <c r="C379" t="s">
        <v>23</v>
      </c>
      <c r="D379" t="s">
        <v>20</v>
      </c>
      <c r="E379">
        <v>41</v>
      </c>
      <c r="F379">
        <v>175</v>
      </c>
      <c r="G379">
        <v>57</v>
      </c>
      <c r="H379">
        <v>18.600000000000001</v>
      </c>
      <c r="I379">
        <v>133</v>
      </c>
      <c r="J379">
        <v>79</v>
      </c>
      <c r="K379">
        <v>78</v>
      </c>
      <c r="L379">
        <v>8.4</v>
      </c>
    </row>
    <row r="380" spans="1:12" x14ac:dyDescent="0.35">
      <c r="A380" t="s">
        <v>16</v>
      </c>
      <c r="B380" t="s">
        <v>13</v>
      </c>
      <c r="C380" t="s">
        <v>14</v>
      </c>
      <c r="D380" t="s">
        <v>15</v>
      </c>
      <c r="E380">
        <v>47</v>
      </c>
      <c r="F380">
        <v>167</v>
      </c>
      <c r="G380">
        <v>62</v>
      </c>
      <c r="H380">
        <v>22.2</v>
      </c>
      <c r="I380">
        <v>112</v>
      </c>
      <c r="J380">
        <v>72</v>
      </c>
      <c r="K380">
        <v>81</v>
      </c>
      <c r="L380">
        <v>8.4</v>
      </c>
    </row>
    <row r="381" spans="1:12" x14ac:dyDescent="0.35">
      <c r="A381" t="s">
        <v>12</v>
      </c>
      <c r="B381" t="s">
        <v>25</v>
      </c>
      <c r="C381" t="s">
        <v>14</v>
      </c>
      <c r="D381" t="s">
        <v>20</v>
      </c>
      <c r="E381">
        <v>50</v>
      </c>
      <c r="F381">
        <v>171</v>
      </c>
      <c r="G381">
        <v>98</v>
      </c>
      <c r="H381">
        <v>33.5</v>
      </c>
      <c r="I381">
        <v>120</v>
      </c>
      <c r="J381">
        <v>94</v>
      </c>
      <c r="K381">
        <v>74</v>
      </c>
      <c r="L381">
        <v>7.6</v>
      </c>
    </row>
    <row r="382" spans="1:12" x14ac:dyDescent="0.35">
      <c r="A382" t="s">
        <v>16</v>
      </c>
      <c r="B382" t="s">
        <v>25</v>
      </c>
      <c r="C382" t="s">
        <v>14</v>
      </c>
      <c r="D382" t="s">
        <v>20</v>
      </c>
      <c r="E382">
        <v>22</v>
      </c>
      <c r="F382">
        <v>163</v>
      </c>
      <c r="G382">
        <v>87</v>
      </c>
      <c r="H382">
        <v>32.700000000000003</v>
      </c>
      <c r="I382">
        <v>113</v>
      </c>
      <c r="J382">
        <v>72</v>
      </c>
      <c r="K382">
        <v>63</v>
      </c>
      <c r="L382">
        <v>8.4</v>
      </c>
    </row>
    <row r="383" spans="1:12" x14ac:dyDescent="0.35">
      <c r="A383" t="s">
        <v>16</v>
      </c>
      <c r="B383" t="s">
        <v>22</v>
      </c>
      <c r="C383" t="s">
        <v>14</v>
      </c>
      <c r="D383" t="s">
        <v>18</v>
      </c>
      <c r="E383">
        <v>56</v>
      </c>
      <c r="F383">
        <v>155</v>
      </c>
      <c r="G383">
        <v>96</v>
      </c>
      <c r="H383">
        <v>40</v>
      </c>
      <c r="I383">
        <v>135</v>
      </c>
      <c r="J383">
        <v>84</v>
      </c>
      <c r="K383">
        <v>87</v>
      </c>
      <c r="L383">
        <v>9.8000000000000007</v>
      </c>
    </row>
    <row r="384" spans="1:12" x14ac:dyDescent="0.35">
      <c r="A384" t="s">
        <v>16</v>
      </c>
      <c r="B384" t="s">
        <v>24</v>
      </c>
      <c r="C384" t="s">
        <v>14</v>
      </c>
      <c r="D384" t="s">
        <v>15</v>
      </c>
      <c r="E384">
        <v>27</v>
      </c>
      <c r="F384">
        <v>156</v>
      </c>
      <c r="G384">
        <v>89</v>
      </c>
      <c r="H384">
        <v>36.6</v>
      </c>
      <c r="I384">
        <v>136</v>
      </c>
      <c r="J384">
        <v>75</v>
      </c>
      <c r="K384">
        <v>71</v>
      </c>
      <c r="L384">
        <v>8.4</v>
      </c>
    </row>
    <row r="385" spans="1:12" x14ac:dyDescent="0.35">
      <c r="A385" t="s">
        <v>12</v>
      </c>
      <c r="B385" t="s">
        <v>24</v>
      </c>
      <c r="C385" t="s">
        <v>14</v>
      </c>
      <c r="D385" t="s">
        <v>26</v>
      </c>
      <c r="E385">
        <v>58</v>
      </c>
      <c r="F385">
        <v>183</v>
      </c>
      <c r="G385">
        <v>60</v>
      </c>
      <c r="H385">
        <v>17.899999999999999</v>
      </c>
      <c r="I385">
        <v>136</v>
      </c>
      <c r="J385">
        <v>86</v>
      </c>
      <c r="K385">
        <v>65</v>
      </c>
      <c r="L385">
        <v>9.6</v>
      </c>
    </row>
    <row r="386" spans="1:12" x14ac:dyDescent="0.35">
      <c r="A386" t="s">
        <v>12</v>
      </c>
      <c r="B386" t="s">
        <v>21</v>
      </c>
      <c r="C386" t="s">
        <v>14</v>
      </c>
      <c r="D386" t="s">
        <v>18</v>
      </c>
      <c r="E386">
        <v>26</v>
      </c>
      <c r="F386">
        <v>187</v>
      </c>
      <c r="G386">
        <v>93</v>
      </c>
      <c r="H386">
        <v>26.6</v>
      </c>
      <c r="I386">
        <v>115</v>
      </c>
      <c r="J386">
        <v>81</v>
      </c>
      <c r="K386">
        <v>78</v>
      </c>
      <c r="L386">
        <v>9.6</v>
      </c>
    </row>
    <row r="387" spans="1:12" x14ac:dyDescent="0.35">
      <c r="A387" t="s">
        <v>16</v>
      </c>
      <c r="B387" t="s">
        <v>22</v>
      </c>
      <c r="C387" t="s">
        <v>23</v>
      </c>
      <c r="D387" t="s">
        <v>15</v>
      </c>
      <c r="E387">
        <v>54</v>
      </c>
      <c r="F387">
        <v>164</v>
      </c>
      <c r="G387">
        <v>77</v>
      </c>
      <c r="H387">
        <v>28.6</v>
      </c>
      <c r="I387">
        <v>124</v>
      </c>
      <c r="J387">
        <v>91</v>
      </c>
      <c r="K387">
        <v>63</v>
      </c>
      <c r="L387">
        <v>8.4</v>
      </c>
    </row>
    <row r="388" spans="1:12" x14ac:dyDescent="0.35">
      <c r="A388" t="s">
        <v>12</v>
      </c>
      <c r="B388" t="s">
        <v>25</v>
      </c>
      <c r="C388" t="s">
        <v>19</v>
      </c>
      <c r="D388" t="s">
        <v>18</v>
      </c>
      <c r="E388">
        <v>35</v>
      </c>
      <c r="F388">
        <v>175</v>
      </c>
      <c r="G388">
        <v>79</v>
      </c>
      <c r="H388">
        <v>25.8</v>
      </c>
      <c r="I388">
        <v>139</v>
      </c>
      <c r="J388">
        <v>89</v>
      </c>
      <c r="K388">
        <v>74</v>
      </c>
      <c r="L388">
        <v>9.1</v>
      </c>
    </row>
    <row r="389" spans="1:12" x14ac:dyDescent="0.35">
      <c r="A389" t="s">
        <v>12</v>
      </c>
      <c r="B389" t="s">
        <v>17</v>
      </c>
      <c r="C389" t="s">
        <v>14</v>
      </c>
      <c r="D389" t="s">
        <v>26</v>
      </c>
      <c r="E389">
        <v>33</v>
      </c>
      <c r="F389">
        <v>182</v>
      </c>
      <c r="G389">
        <v>97</v>
      </c>
      <c r="H389">
        <v>29.3</v>
      </c>
      <c r="I389">
        <v>146</v>
      </c>
      <c r="J389">
        <v>93</v>
      </c>
      <c r="K389">
        <v>68</v>
      </c>
      <c r="L389">
        <v>7.7</v>
      </c>
    </row>
    <row r="390" spans="1:12" x14ac:dyDescent="0.35">
      <c r="A390" t="s">
        <v>12</v>
      </c>
      <c r="B390" t="s">
        <v>24</v>
      </c>
      <c r="C390" t="s">
        <v>14</v>
      </c>
      <c r="D390" t="s">
        <v>26</v>
      </c>
      <c r="E390">
        <v>41</v>
      </c>
      <c r="F390">
        <v>165</v>
      </c>
      <c r="G390">
        <v>73</v>
      </c>
      <c r="H390">
        <v>26.8</v>
      </c>
      <c r="I390">
        <v>146</v>
      </c>
      <c r="J390">
        <v>80</v>
      </c>
      <c r="K390">
        <v>64</v>
      </c>
      <c r="L390">
        <v>7.8</v>
      </c>
    </row>
    <row r="391" spans="1:12" x14ac:dyDescent="0.35">
      <c r="A391" t="s">
        <v>12</v>
      </c>
      <c r="B391" t="s">
        <v>25</v>
      </c>
      <c r="C391" t="s">
        <v>14</v>
      </c>
      <c r="D391" t="s">
        <v>15</v>
      </c>
      <c r="E391">
        <v>45</v>
      </c>
      <c r="F391">
        <v>188</v>
      </c>
      <c r="G391">
        <v>59</v>
      </c>
      <c r="H391">
        <v>16.7</v>
      </c>
      <c r="I391">
        <v>146</v>
      </c>
      <c r="J391">
        <v>94</v>
      </c>
      <c r="K391">
        <v>72</v>
      </c>
      <c r="L391">
        <v>7.6</v>
      </c>
    </row>
    <row r="392" spans="1:12" x14ac:dyDescent="0.35">
      <c r="A392" t="s">
        <v>12</v>
      </c>
      <c r="B392" t="s">
        <v>24</v>
      </c>
      <c r="C392" t="s">
        <v>14</v>
      </c>
      <c r="D392" t="s">
        <v>26</v>
      </c>
      <c r="E392">
        <v>55</v>
      </c>
      <c r="F392">
        <v>162</v>
      </c>
      <c r="G392">
        <v>65</v>
      </c>
      <c r="H392">
        <v>24.8</v>
      </c>
      <c r="I392">
        <v>144</v>
      </c>
      <c r="J392">
        <v>73</v>
      </c>
      <c r="K392">
        <v>82</v>
      </c>
      <c r="L392">
        <v>9</v>
      </c>
    </row>
    <row r="393" spans="1:12" x14ac:dyDescent="0.35">
      <c r="A393" t="s">
        <v>12</v>
      </c>
      <c r="B393" t="s">
        <v>24</v>
      </c>
      <c r="C393" t="s">
        <v>14</v>
      </c>
      <c r="D393" t="s">
        <v>18</v>
      </c>
      <c r="E393">
        <v>46</v>
      </c>
      <c r="F393">
        <v>176</v>
      </c>
      <c r="G393">
        <v>66</v>
      </c>
      <c r="H393">
        <v>21.3</v>
      </c>
      <c r="I393">
        <v>132</v>
      </c>
      <c r="J393">
        <v>75</v>
      </c>
      <c r="K393">
        <v>85</v>
      </c>
      <c r="L393">
        <v>8.6</v>
      </c>
    </row>
    <row r="394" spans="1:12" x14ac:dyDescent="0.35">
      <c r="A394" t="s">
        <v>16</v>
      </c>
      <c r="B394" t="s">
        <v>24</v>
      </c>
      <c r="C394" t="s">
        <v>14</v>
      </c>
      <c r="D394" t="s">
        <v>26</v>
      </c>
      <c r="E394">
        <v>50</v>
      </c>
      <c r="F394">
        <v>162</v>
      </c>
      <c r="G394">
        <v>64</v>
      </c>
      <c r="H394">
        <v>24.4</v>
      </c>
      <c r="I394">
        <v>115</v>
      </c>
      <c r="J394">
        <v>70</v>
      </c>
      <c r="K394">
        <v>77</v>
      </c>
      <c r="L394">
        <v>8.9</v>
      </c>
    </row>
    <row r="395" spans="1:12" x14ac:dyDescent="0.35">
      <c r="A395" t="s">
        <v>16</v>
      </c>
      <c r="B395" t="s">
        <v>17</v>
      </c>
      <c r="C395" t="s">
        <v>23</v>
      </c>
      <c r="D395" t="s">
        <v>18</v>
      </c>
      <c r="E395">
        <v>52</v>
      </c>
      <c r="F395">
        <v>169</v>
      </c>
      <c r="G395">
        <v>62</v>
      </c>
      <c r="H395">
        <v>21.7</v>
      </c>
      <c r="I395">
        <v>113</v>
      </c>
      <c r="J395">
        <v>89</v>
      </c>
      <c r="K395">
        <v>89</v>
      </c>
      <c r="L395">
        <v>8.8000000000000007</v>
      </c>
    </row>
    <row r="396" spans="1:12" x14ac:dyDescent="0.35">
      <c r="A396" t="s">
        <v>12</v>
      </c>
      <c r="B396" t="s">
        <v>22</v>
      </c>
      <c r="C396" t="s">
        <v>14</v>
      </c>
      <c r="D396" t="s">
        <v>18</v>
      </c>
      <c r="E396">
        <v>44</v>
      </c>
      <c r="F396">
        <v>171</v>
      </c>
      <c r="G396">
        <v>78</v>
      </c>
      <c r="H396">
        <v>26.7</v>
      </c>
      <c r="I396">
        <v>127</v>
      </c>
      <c r="J396">
        <v>92</v>
      </c>
      <c r="K396">
        <v>89</v>
      </c>
      <c r="L396">
        <v>8.4</v>
      </c>
    </row>
    <row r="397" spans="1:12" x14ac:dyDescent="0.35">
      <c r="A397" t="s">
        <v>16</v>
      </c>
      <c r="B397" t="s">
        <v>17</v>
      </c>
      <c r="C397" t="s">
        <v>14</v>
      </c>
      <c r="D397" t="s">
        <v>26</v>
      </c>
      <c r="E397">
        <v>59</v>
      </c>
      <c r="F397">
        <v>177</v>
      </c>
      <c r="G397">
        <v>82</v>
      </c>
      <c r="H397">
        <v>26.2</v>
      </c>
      <c r="I397">
        <v>118</v>
      </c>
      <c r="J397">
        <v>85</v>
      </c>
      <c r="K397">
        <v>64</v>
      </c>
      <c r="L397">
        <v>9.1999999999999993</v>
      </c>
    </row>
    <row r="398" spans="1:12" x14ac:dyDescent="0.35">
      <c r="A398" t="s">
        <v>16</v>
      </c>
      <c r="B398" t="s">
        <v>13</v>
      </c>
      <c r="C398" t="s">
        <v>14</v>
      </c>
      <c r="D398" t="s">
        <v>15</v>
      </c>
      <c r="E398">
        <v>41</v>
      </c>
      <c r="F398">
        <v>178</v>
      </c>
      <c r="G398">
        <v>95</v>
      </c>
      <c r="H398">
        <v>30</v>
      </c>
      <c r="I398">
        <v>138</v>
      </c>
      <c r="J398">
        <v>84</v>
      </c>
      <c r="K398">
        <v>84</v>
      </c>
      <c r="L398">
        <v>9.4</v>
      </c>
    </row>
    <row r="399" spans="1:12" x14ac:dyDescent="0.35">
      <c r="A399" t="s">
        <v>16</v>
      </c>
      <c r="B399" t="s">
        <v>25</v>
      </c>
      <c r="C399" t="s">
        <v>14</v>
      </c>
      <c r="D399" t="s">
        <v>20</v>
      </c>
      <c r="E399">
        <v>44</v>
      </c>
      <c r="F399">
        <v>173</v>
      </c>
      <c r="G399">
        <v>90</v>
      </c>
      <c r="H399">
        <v>30.1</v>
      </c>
      <c r="I399">
        <v>122</v>
      </c>
      <c r="J399">
        <v>86</v>
      </c>
      <c r="K399">
        <v>75</v>
      </c>
      <c r="L399">
        <v>7.5</v>
      </c>
    </row>
    <row r="400" spans="1:12" x14ac:dyDescent="0.35">
      <c r="A400" t="s">
        <v>16</v>
      </c>
      <c r="B400" t="s">
        <v>22</v>
      </c>
      <c r="C400" t="s">
        <v>14</v>
      </c>
      <c r="D400" t="s">
        <v>26</v>
      </c>
      <c r="E400">
        <v>37</v>
      </c>
      <c r="F400">
        <v>159</v>
      </c>
      <c r="G400">
        <v>91</v>
      </c>
      <c r="H400">
        <v>36</v>
      </c>
      <c r="I400">
        <v>126</v>
      </c>
      <c r="J400">
        <v>77</v>
      </c>
      <c r="K400">
        <v>86</v>
      </c>
      <c r="L400">
        <v>8</v>
      </c>
    </row>
    <row r="401" spans="1:12" x14ac:dyDescent="0.35">
      <c r="A401" t="s">
        <v>12</v>
      </c>
      <c r="B401" t="s">
        <v>22</v>
      </c>
      <c r="C401" t="s">
        <v>14</v>
      </c>
      <c r="D401" t="s">
        <v>18</v>
      </c>
      <c r="E401">
        <v>29</v>
      </c>
      <c r="F401">
        <v>186</v>
      </c>
      <c r="G401">
        <v>75</v>
      </c>
      <c r="H401">
        <v>21.7</v>
      </c>
      <c r="I401">
        <v>141</v>
      </c>
      <c r="J401">
        <v>81</v>
      </c>
      <c r="K401">
        <v>78</v>
      </c>
      <c r="L401">
        <v>9.3000000000000007</v>
      </c>
    </row>
    <row r="402" spans="1:12" x14ac:dyDescent="0.35">
      <c r="A402" t="s">
        <v>16</v>
      </c>
      <c r="B402" t="s">
        <v>22</v>
      </c>
      <c r="C402" t="s">
        <v>14</v>
      </c>
      <c r="D402" t="s">
        <v>18</v>
      </c>
      <c r="E402">
        <v>42</v>
      </c>
      <c r="F402">
        <v>155</v>
      </c>
      <c r="G402">
        <v>62</v>
      </c>
      <c r="H402">
        <v>25.8</v>
      </c>
      <c r="I402">
        <v>131</v>
      </c>
      <c r="J402">
        <v>91</v>
      </c>
      <c r="K402">
        <v>73</v>
      </c>
      <c r="L402">
        <v>8.5</v>
      </c>
    </row>
    <row r="403" spans="1:12" x14ac:dyDescent="0.35">
      <c r="A403" t="s">
        <v>16</v>
      </c>
      <c r="B403" t="s">
        <v>22</v>
      </c>
      <c r="C403" t="s">
        <v>23</v>
      </c>
      <c r="D403" t="s">
        <v>26</v>
      </c>
      <c r="E403">
        <v>22</v>
      </c>
      <c r="F403">
        <v>177</v>
      </c>
      <c r="G403">
        <v>63</v>
      </c>
      <c r="H403">
        <v>20.100000000000001</v>
      </c>
      <c r="I403">
        <v>113</v>
      </c>
      <c r="J403">
        <v>90</v>
      </c>
      <c r="K403">
        <v>84</v>
      </c>
      <c r="L403">
        <v>9.1999999999999993</v>
      </c>
    </row>
    <row r="404" spans="1:12" x14ac:dyDescent="0.35">
      <c r="A404" t="s">
        <v>12</v>
      </c>
      <c r="B404" t="s">
        <v>17</v>
      </c>
      <c r="C404" t="s">
        <v>14</v>
      </c>
      <c r="D404" t="s">
        <v>15</v>
      </c>
      <c r="E404">
        <v>29</v>
      </c>
      <c r="F404">
        <v>162</v>
      </c>
      <c r="G404">
        <v>69</v>
      </c>
      <c r="H404">
        <v>26.3</v>
      </c>
      <c r="I404">
        <v>114</v>
      </c>
      <c r="J404">
        <v>79</v>
      </c>
      <c r="K404">
        <v>89</v>
      </c>
      <c r="L404">
        <v>8.4</v>
      </c>
    </row>
    <row r="405" spans="1:12" x14ac:dyDescent="0.35">
      <c r="A405" t="s">
        <v>12</v>
      </c>
      <c r="B405" t="s">
        <v>22</v>
      </c>
      <c r="C405" t="s">
        <v>14</v>
      </c>
      <c r="D405" t="s">
        <v>15</v>
      </c>
      <c r="E405">
        <v>50</v>
      </c>
      <c r="F405">
        <v>167</v>
      </c>
      <c r="G405">
        <v>94</v>
      </c>
      <c r="H405">
        <v>33.700000000000003</v>
      </c>
      <c r="I405">
        <v>146</v>
      </c>
      <c r="J405">
        <v>84</v>
      </c>
      <c r="K405">
        <v>75</v>
      </c>
      <c r="L405">
        <v>8.5</v>
      </c>
    </row>
    <row r="406" spans="1:12" x14ac:dyDescent="0.35">
      <c r="A406" t="s">
        <v>16</v>
      </c>
      <c r="B406" t="s">
        <v>21</v>
      </c>
      <c r="C406" t="s">
        <v>14</v>
      </c>
      <c r="D406" t="s">
        <v>18</v>
      </c>
      <c r="E406">
        <v>53</v>
      </c>
      <c r="F406">
        <v>162</v>
      </c>
      <c r="G406">
        <v>72</v>
      </c>
      <c r="H406">
        <v>27.4</v>
      </c>
      <c r="I406">
        <v>122</v>
      </c>
      <c r="J406">
        <v>78</v>
      </c>
      <c r="K406">
        <v>86</v>
      </c>
      <c r="L406">
        <v>7.9</v>
      </c>
    </row>
    <row r="407" spans="1:12" x14ac:dyDescent="0.35">
      <c r="A407" t="s">
        <v>16</v>
      </c>
      <c r="B407" t="s">
        <v>25</v>
      </c>
      <c r="C407" t="s">
        <v>14</v>
      </c>
      <c r="D407" t="s">
        <v>18</v>
      </c>
      <c r="E407">
        <v>59</v>
      </c>
      <c r="F407">
        <v>177</v>
      </c>
      <c r="G407">
        <v>96</v>
      </c>
      <c r="H407">
        <v>30.6</v>
      </c>
      <c r="I407">
        <v>143</v>
      </c>
      <c r="J407">
        <v>71</v>
      </c>
      <c r="K407">
        <v>74</v>
      </c>
      <c r="L407">
        <v>8.1</v>
      </c>
    </row>
    <row r="408" spans="1:12" x14ac:dyDescent="0.35">
      <c r="A408" t="s">
        <v>16</v>
      </c>
      <c r="B408" t="s">
        <v>22</v>
      </c>
      <c r="C408" t="s">
        <v>14</v>
      </c>
      <c r="D408" t="s">
        <v>15</v>
      </c>
      <c r="E408">
        <v>26</v>
      </c>
      <c r="F408">
        <v>155</v>
      </c>
      <c r="G408">
        <v>74</v>
      </c>
      <c r="H408">
        <v>30.8</v>
      </c>
      <c r="I408">
        <v>131</v>
      </c>
      <c r="J408">
        <v>74</v>
      </c>
      <c r="K408">
        <v>81</v>
      </c>
      <c r="L408">
        <v>9</v>
      </c>
    </row>
    <row r="409" spans="1:12" x14ac:dyDescent="0.35">
      <c r="A409" t="s">
        <v>16</v>
      </c>
      <c r="B409" t="s">
        <v>25</v>
      </c>
      <c r="C409" t="s">
        <v>23</v>
      </c>
      <c r="D409" t="s">
        <v>20</v>
      </c>
      <c r="E409">
        <v>43</v>
      </c>
      <c r="F409">
        <v>178</v>
      </c>
      <c r="G409">
        <v>60</v>
      </c>
      <c r="H409">
        <v>18.899999999999999</v>
      </c>
      <c r="I409">
        <v>132</v>
      </c>
      <c r="J409">
        <v>75</v>
      </c>
      <c r="K409">
        <v>63</v>
      </c>
      <c r="L409">
        <v>8.6</v>
      </c>
    </row>
    <row r="410" spans="1:12" x14ac:dyDescent="0.35">
      <c r="A410" t="s">
        <v>16</v>
      </c>
      <c r="B410" t="s">
        <v>21</v>
      </c>
      <c r="C410" t="s">
        <v>23</v>
      </c>
      <c r="D410" t="s">
        <v>26</v>
      </c>
      <c r="E410">
        <v>55</v>
      </c>
      <c r="F410">
        <v>189</v>
      </c>
      <c r="G410">
        <v>66</v>
      </c>
      <c r="H410">
        <v>18.5</v>
      </c>
      <c r="I410">
        <v>112</v>
      </c>
      <c r="J410">
        <v>76</v>
      </c>
      <c r="K410">
        <v>66</v>
      </c>
      <c r="L410">
        <v>9.4</v>
      </c>
    </row>
    <row r="411" spans="1:12" x14ac:dyDescent="0.35">
      <c r="A411" t="s">
        <v>16</v>
      </c>
      <c r="B411" t="s">
        <v>21</v>
      </c>
      <c r="C411" t="s">
        <v>23</v>
      </c>
      <c r="D411" t="s">
        <v>18</v>
      </c>
      <c r="E411">
        <v>22</v>
      </c>
      <c r="F411">
        <v>178</v>
      </c>
      <c r="G411">
        <v>56</v>
      </c>
      <c r="H411">
        <v>17.7</v>
      </c>
      <c r="I411">
        <v>143</v>
      </c>
      <c r="J411">
        <v>90</v>
      </c>
      <c r="K411">
        <v>75</v>
      </c>
      <c r="L411">
        <v>9.6</v>
      </c>
    </row>
    <row r="412" spans="1:12" x14ac:dyDescent="0.35">
      <c r="A412" t="s">
        <v>12</v>
      </c>
      <c r="B412" t="s">
        <v>25</v>
      </c>
      <c r="C412" t="s">
        <v>14</v>
      </c>
      <c r="D412" t="s">
        <v>18</v>
      </c>
      <c r="E412">
        <v>47</v>
      </c>
      <c r="F412">
        <v>171</v>
      </c>
      <c r="G412">
        <v>61</v>
      </c>
      <c r="H412">
        <v>20.9</v>
      </c>
      <c r="I412">
        <v>141</v>
      </c>
      <c r="J412">
        <v>94</v>
      </c>
      <c r="K412">
        <v>83</v>
      </c>
      <c r="L412">
        <v>8.9</v>
      </c>
    </row>
    <row r="413" spans="1:12" x14ac:dyDescent="0.35">
      <c r="A413" t="s">
        <v>16</v>
      </c>
      <c r="B413" t="s">
        <v>24</v>
      </c>
      <c r="C413" t="s">
        <v>14</v>
      </c>
      <c r="D413" t="s">
        <v>15</v>
      </c>
      <c r="E413">
        <v>31</v>
      </c>
      <c r="F413">
        <v>159</v>
      </c>
      <c r="G413">
        <v>70</v>
      </c>
      <c r="H413">
        <v>27.7</v>
      </c>
      <c r="I413">
        <v>130</v>
      </c>
      <c r="J413">
        <v>70</v>
      </c>
      <c r="K413">
        <v>81</v>
      </c>
      <c r="L413">
        <v>9.4</v>
      </c>
    </row>
    <row r="414" spans="1:12" x14ac:dyDescent="0.35">
      <c r="A414" t="s">
        <v>16</v>
      </c>
      <c r="B414" t="s">
        <v>13</v>
      </c>
      <c r="C414" t="s">
        <v>14</v>
      </c>
      <c r="D414" t="s">
        <v>26</v>
      </c>
      <c r="E414">
        <v>51</v>
      </c>
      <c r="F414">
        <v>174</v>
      </c>
      <c r="G414">
        <v>57</v>
      </c>
      <c r="H414">
        <v>18.8</v>
      </c>
      <c r="I414">
        <v>130</v>
      </c>
      <c r="J414">
        <v>92</v>
      </c>
      <c r="K414">
        <v>80</v>
      </c>
      <c r="L414">
        <v>8.3000000000000007</v>
      </c>
    </row>
    <row r="415" spans="1:12" x14ac:dyDescent="0.35">
      <c r="A415" t="s">
        <v>12</v>
      </c>
      <c r="B415" t="s">
        <v>24</v>
      </c>
      <c r="C415" t="s">
        <v>14</v>
      </c>
      <c r="D415" t="s">
        <v>15</v>
      </c>
      <c r="E415">
        <v>39</v>
      </c>
      <c r="F415">
        <v>175</v>
      </c>
      <c r="G415">
        <v>99</v>
      </c>
      <c r="H415">
        <v>32.299999999999997</v>
      </c>
      <c r="I415">
        <v>120</v>
      </c>
      <c r="J415">
        <v>76</v>
      </c>
      <c r="K415">
        <v>81</v>
      </c>
      <c r="L415">
        <v>8.5</v>
      </c>
    </row>
    <row r="416" spans="1:12" x14ac:dyDescent="0.35">
      <c r="A416" t="s">
        <v>12</v>
      </c>
      <c r="B416" t="s">
        <v>24</v>
      </c>
      <c r="C416" t="s">
        <v>23</v>
      </c>
      <c r="D416" t="s">
        <v>26</v>
      </c>
      <c r="E416">
        <v>38</v>
      </c>
      <c r="F416">
        <v>185</v>
      </c>
      <c r="G416">
        <v>57</v>
      </c>
      <c r="H416">
        <v>16.7</v>
      </c>
      <c r="I416">
        <v>148</v>
      </c>
      <c r="J416">
        <v>89</v>
      </c>
      <c r="K416">
        <v>80</v>
      </c>
      <c r="L416">
        <v>9.3000000000000007</v>
      </c>
    </row>
    <row r="417" spans="1:12" x14ac:dyDescent="0.35">
      <c r="A417" t="s">
        <v>12</v>
      </c>
      <c r="B417" t="s">
        <v>17</v>
      </c>
      <c r="C417" t="s">
        <v>14</v>
      </c>
      <c r="D417" t="s">
        <v>26</v>
      </c>
      <c r="E417">
        <v>47</v>
      </c>
      <c r="F417">
        <v>165</v>
      </c>
      <c r="G417">
        <v>81</v>
      </c>
      <c r="H417">
        <v>29.8</v>
      </c>
      <c r="I417">
        <v>113</v>
      </c>
      <c r="J417">
        <v>94</v>
      </c>
      <c r="K417">
        <v>67</v>
      </c>
      <c r="L417">
        <v>8.5</v>
      </c>
    </row>
    <row r="418" spans="1:12" x14ac:dyDescent="0.35">
      <c r="A418" t="s">
        <v>12</v>
      </c>
      <c r="B418" t="s">
        <v>24</v>
      </c>
      <c r="C418" t="s">
        <v>14</v>
      </c>
      <c r="D418" t="s">
        <v>26</v>
      </c>
      <c r="E418">
        <v>29</v>
      </c>
      <c r="F418">
        <v>169</v>
      </c>
      <c r="G418">
        <v>97</v>
      </c>
      <c r="H418">
        <v>34</v>
      </c>
      <c r="I418">
        <v>110</v>
      </c>
      <c r="J418">
        <v>81</v>
      </c>
      <c r="K418">
        <v>76</v>
      </c>
      <c r="L418">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 sqref="E2"/>
    </sheetView>
  </sheetViews>
  <sheetFormatPr defaultRowHeight="14.5" x14ac:dyDescent="0.35"/>
  <cols>
    <col min="1" max="1" width="12.36328125" bestFit="1" customWidth="1"/>
    <col min="2" max="2" width="19.90625" bestFit="1" customWidth="1"/>
  </cols>
  <sheetData>
    <row r="1" spans="1:5" x14ac:dyDescent="0.35">
      <c r="A1" s="2" t="s">
        <v>27</v>
      </c>
      <c r="B1" t="s">
        <v>29</v>
      </c>
    </row>
    <row r="2" spans="1:5" x14ac:dyDescent="0.35">
      <c r="A2" s="3" t="s">
        <v>18</v>
      </c>
      <c r="B2" s="4">
        <v>76.103448275862064</v>
      </c>
      <c r="E2">
        <f>GETPIVOTDATA("Heart_Rate",$A$1)</f>
        <v>74.944844124700239</v>
      </c>
    </row>
    <row r="3" spans="1:5" x14ac:dyDescent="0.35">
      <c r="A3" s="3" t="s">
        <v>15</v>
      </c>
      <c r="B3" s="4">
        <v>75.5</v>
      </c>
    </row>
    <row r="4" spans="1:5" x14ac:dyDescent="0.35">
      <c r="A4" s="3" t="s">
        <v>26</v>
      </c>
      <c r="B4" s="4">
        <v>74.292035398230084</v>
      </c>
    </row>
    <row r="5" spans="1:5" x14ac:dyDescent="0.35">
      <c r="A5" s="3" t="s">
        <v>20</v>
      </c>
      <c r="B5" s="4">
        <v>73.535714285714292</v>
      </c>
    </row>
    <row r="6" spans="1:5" x14ac:dyDescent="0.35">
      <c r="A6" s="3" t="s">
        <v>28</v>
      </c>
      <c r="B6" s="4">
        <v>74.944844124700239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zoomScale="66" zoomScaleNormal="66" workbookViewId="0">
      <selection activeCell="B10" sqref="B10"/>
    </sheetView>
  </sheetViews>
  <sheetFormatPr defaultRowHeight="14.5" x14ac:dyDescent="0.35"/>
  <cols>
    <col min="1" max="1" width="20.08984375" customWidth="1"/>
    <col min="2" max="2" width="15.36328125" bestFit="1" customWidth="1"/>
    <col min="3" max="3" width="14.81640625" bestFit="1" customWidth="1"/>
  </cols>
  <sheetData>
    <row r="1" spans="1:2" x14ac:dyDescent="0.35">
      <c r="A1" s="2" t="s">
        <v>27</v>
      </c>
      <c r="B1" t="s">
        <v>30</v>
      </c>
    </row>
    <row r="2" spans="1:2" x14ac:dyDescent="0.35">
      <c r="A2" s="3" t="s">
        <v>26</v>
      </c>
      <c r="B2" s="4">
        <v>113</v>
      </c>
    </row>
    <row r="3" spans="1:2" x14ac:dyDescent="0.35">
      <c r="A3" s="5" t="s">
        <v>14</v>
      </c>
      <c r="B3" s="4">
        <v>82</v>
      </c>
    </row>
    <row r="4" spans="1:2" x14ac:dyDescent="0.35">
      <c r="A4" s="6" t="s">
        <v>16</v>
      </c>
      <c r="B4" s="4">
        <v>47</v>
      </c>
    </row>
    <row r="5" spans="1:2" x14ac:dyDescent="0.35">
      <c r="A5" s="6" t="s">
        <v>12</v>
      </c>
      <c r="B5" s="4">
        <v>35</v>
      </c>
    </row>
    <row r="6" spans="1:2" x14ac:dyDescent="0.35">
      <c r="A6" s="5" t="s">
        <v>23</v>
      </c>
      <c r="B6" s="4">
        <v>21</v>
      </c>
    </row>
    <row r="7" spans="1:2" x14ac:dyDescent="0.35">
      <c r="A7" s="6" t="s">
        <v>16</v>
      </c>
      <c r="B7" s="4">
        <v>12</v>
      </c>
    </row>
    <row r="8" spans="1:2" x14ac:dyDescent="0.35">
      <c r="A8" s="6" t="s">
        <v>12</v>
      </c>
      <c r="B8" s="4">
        <v>9</v>
      </c>
    </row>
    <row r="9" spans="1:2" x14ac:dyDescent="0.35">
      <c r="A9" s="5" t="s">
        <v>19</v>
      </c>
      <c r="B9" s="4">
        <v>10</v>
      </c>
    </row>
    <row r="10" spans="1:2" x14ac:dyDescent="0.35">
      <c r="A10" s="6" t="s">
        <v>16</v>
      </c>
      <c r="B10" s="4">
        <v>4</v>
      </c>
    </row>
    <row r="11" spans="1:2" x14ac:dyDescent="0.35">
      <c r="A11" s="6" t="s">
        <v>12</v>
      </c>
      <c r="B11" s="4">
        <v>6</v>
      </c>
    </row>
    <row r="12" spans="1:2" x14ac:dyDescent="0.35">
      <c r="A12" s="3" t="s">
        <v>15</v>
      </c>
      <c r="B12" s="4">
        <v>104</v>
      </c>
    </row>
    <row r="13" spans="1:2" x14ac:dyDescent="0.35">
      <c r="A13" s="5" t="s">
        <v>14</v>
      </c>
      <c r="B13" s="4">
        <v>79</v>
      </c>
    </row>
    <row r="14" spans="1:2" x14ac:dyDescent="0.35">
      <c r="A14" s="6" t="s">
        <v>16</v>
      </c>
      <c r="B14" s="4">
        <v>34</v>
      </c>
    </row>
    <row r="15" spans="1:2" x14ac:dyDescent="0.35">
      <c r="A15" s="6" t="s">
        <v>12</v>
      </c>
      <c r="B15" s="4">
        <v>45</v>
      </c>
    </row>
    <row r="16" spans="1:2" x14ac:dyDescent="0.35">
      <c r="A16" s="5" t="s">
        <v>23</v>
      </c>
      <c r="B16" s="4">
        <v>16</v>
      </c>
    </row>
    <row r="17" spans="1:2" x14ac:dyDescent="0.35">
      <c r="A17" s="6" t="s">
        <v>16</v>
      </c>
      <c r="B17" s="4">
        <v>9</v>
      </c>
    </row>
    <row r="18" spans="1:2" x14ac:dyDescent="0.35">
      <c r="A18" s="6" t="s">
        <v>12</v>
      </c>
      <c r="B18" s="4">
        <v>7</v>
      </c>
    </row>
    <row r="19" spans="1:2" x14ac:dyDescent="0.35">
      <c r="A19" s="5" t="s">
        <v>19</v>
      </c>
      <c r="B19" s="4">
        <v>9</v>
      </c>
    </row>
    <row r="20" spans="1:2" x14ac:dyDescent="0.35">
      <c r="A20" s="6" t="s">
        <v>16</v>
      </c>
      <c r="B20" s="4">
        <v>4</v>
      </c>
    </row>
    <row r="21" spans="1:2" x14ac:dyDescent="0.35">
      <c r="A21" s="6" t="s">
        <v>12</v>
      </c>
      <c r="B21" s="4">
        <v>5</v>
      </c>
    </row>
    <row r="22" spans="1:2" x14ac:dyDescent="0.35">
      <c r="A22" s="3" t="s">
        <v>20</v>
      </c>
      <c r="B22" s="4">
        <v>84</v>
      </c>
    </row>
    <row r="23" spans="1:2" x14ac:dyDescent="0.35">
      <c r="A23" s="5" t="s">
        <v>14</v>
      </c>
      <c r="B23" s="4">
        <v>60</v>
      </c>
    </row>
    <row r="24" spans="1:2" x14ac:dyDescent="0.35">
      <c r="A24" s="6" t="s">
        <v>16</v>
      </c>
      <c r="B24" s="4">
        <v>28</v>
      </c>
    </row>
    <row r="25" spans="1:2" x14ac:dyDescent="0.35">
      <c r="A25" s="6" t="s">
        <v>12</v>
      </c>
      <c r="B25" s="4">
        <v>32</v>
      </c>
    </row>
    <row r="26" spans="1:2" x14ac:dyDescent="0.35">
      <c r="A26" s="5" t="s">
        <v>23</v>
      </c>
      <c r="B26" s="4">
        <v>20</v>
      </c>
    </row>
    <row r="27" spans="1:2" x14ac:dyDescent="0.35">
      <c r="A27" s="6" t="s">
        <v>16</v>
      </c>
      <c r="B27" s="4">
        <v>7</v>
      </c>
    </row>
    <row r="28" spans="1:2" x14ac:dyDescent="0.35">
      <c r="A28" s="6" t="s">
        <v>12</v>
      </c>
      <c r="B28" s="4">
        <v>13</v>
      </c>
    </row>
    <row r="29" spans="1:2" x14ac:dyDescent="0.35">
      <c r="A29" s="5" t="s">
        <v>19</v>
      </c>
      <c r="B29" s="4">
        <v>4</v>
      </c>
    </row>
    <row r="30" spans="1:2" x14ac:dyDescent="0.35">
      <c r="A30" s="6" t="s">
        <v>16</v>
      </c>
      <c r="B30" s="4">
        <v>4</v>
      </c>
    </row>
    <row r="31" spans="1:2" x14ac:dyDescent="0.35">
      <c r="A31" s="3" t="s">
        <v>18</v>
      </c>
      <c r="B31" s="4">
        <v>116</v>
      </c>
    </row>
    <row r="32" spans="1:2" x14ac:dyDescent="0.35">
      <c r="A32" s="5" t="s">
        <v>14</v>
      </c>
      <c r="B32" s="4">
        <v>81</v>
      </c>
    </row>
    <row r="33" spans="1:2" x14ac:dyDescent="0.35">
      <c r="A33" s="6" t="s">
        <v>16</v>
      </c>
      <c r="B33" s="4">
        <v>37</v>
      </c>
    </row>
    <row r="34" spans="1:2" x14ac:dyDescent="0.35">
      <c r="A34" s="6" t="s">
        <v>12</v>
      </c>
      <c r="B34" s="4">
        <v>44</v>
      </c>
    </row>
    <row r="35" spans="1:2" x14ac:dyDescent="0.35">
      <c r="A35" s="5" t="s">
        <v>23</v>
      </c>
      <c r="B35" s="4">
        <v>17</v>
      </c>
    </row>
    <row r="36" spans="1:2" x14ac:dyDescent="0.35">
      <c r="A36" s="6" t="s">
        <v>16</v>
      </c>
      <c r="B36" s="4">
        <v>15</v>
      </c>
    </row>
    <row r="37" spans="1:2" x14ac:dyDescent="0.35">
      <c r="A37" s="6" t="s">
        <v>12</v>
      </c>
      <c r="B37" s="4">
        <v>2</v>
      </c>
    </row>
    <row r="38" spans="1:2" x14ac:dyDescent="0.35">
      <c r="A38" s="5" t="s">
        <v>19</v>
      </c>
      <c r="B38" s="4">
        <v>18</v>
      </c>
    </row>
    <row r="39" spans="1:2" x14ac:dyDescent="0.35">
      <c r="A39" s="6" t="s">
        <v>16</v>
      </c>
      <c r="B39" s="4">
        <v>10</v>
      </c>
    </row>
    <row r="40" spans="1:2" x14ac:dyDescent="0.35">
      <c r="A40" s="6" t="s">
        <v>12</v>
      </c>
      <c r="B40" s="4">
        <v>8</v>
      </c>
    </row>
    <row r="41" spans="1:2" x14ac:dyDescent="0.35">
      <c r="A41" s="3" t="s">
        <v>28</v>
      </c>
      <c r="B41" s="4">
        <v>417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zoomScale="63" zoomScaleNormal="63" workbookViewId="0">
      <selection activeCell="M17" sqref="M17"/>
    </sheetView>
  </sheetViews>
  <sheetFormatPr defaultRowHeight="14.5" x14ac:dyDescent="0.35"/>
  <cols>
    <col min="1" max="1" width="14.90625" bestFit="1" customWidth="1"/>
    <col min="2" max="3" width="16.08984375" bestFit="1" customWidth="1"/>
  </cols>
  <sheetData>
    <row r="1" spans="1:2" x14ac:dyDescent="0.35">
      <c r="A1" s="2" t="s">
        <v>27</v>
      </c>
      <c r="B1" t="s">
        <v>30</v>
      </c>
    </row>
    <row r="2" spans="1:2" x14ac:dyDescent="0.35">
      <c r="A2" s="3" t="s">
        <v>13</v>
      </c>
      <c r="B2" s="4">
        <v>70</v>
      </c>
    </row>
    <row r="3" spans="1:2" x14ac:dyDescent="0.35">
      <c r="A3" s="5" t="s">
        <v>16</v>
      </c>
      <c r="B3" s="4">
        <v>38</v>
      </c>
    </row>
    <row r="4" spans="1:2" x14ac:dyDescent="0.35">
      <c r="A4" s="5" t="s">
        <v>12</v>
      </c>
      <c r="B4" s="4">
        <v>32</v>
      </c>
    </row>
    <row r="5" spans="1:2" x14ac:dyDescent="0.35">
      <c r="A5" s="3" t="s">
        <v>24</v>
      </c>
      <c r="B5" s="4">
        <v>72</v>
      </c>
    </row>
    <row r="6" spans="1:2" x14ac:dyDescent="0.35">
      <c r="A6" s="5" t="s">
        <v>16</v>
      </c>
      <c r="B6" s="4">
        <v>34</v>
      </c>
    </row>
    <row r="7" spans="1:2" x14ac:dyDescent="0.35">
      <c r="A7" s="5" t="s">
        <v>12</v>
      </c>
      <c r="B7" s="4">
        <v>38</v>
      </c>
    </row>
    <row r="8" spans="1:2" x14ac:dyDescent="0.35">
      <c r="A8" s="3" t="s">
        <v>22</v>
      </c>
      <c r="B8" s="4">
        <v>82</v>
      </c>
    </row>
    <row r="9" spans="1:2" x14ac:dyDescent="0.35">
      <c r="A9" s="5" t="s">
        <v>16</v>
      </c>
      <c r="B9" s="4">
        <v>39</v>
      </c>
    </row>
    <row r="10" spans="1:2" x14ac:dyDescent="0.35">
      <c r="A10" s="5" t="s">
        <v>12</v>
      </c>
      <c r="B10" s="4">
        <v>43</v>
      </c>
    </row>
    <row r="11" spans="1:2" x14ac:dyDescent="0.35">
      <c r="A11" s="3" t="s">
        <v>25</v>
      </c>
      <c r="B11" s="4">
        <v>73</v>
      </c>
    </row>
    <row r="12" spans="1:2" x14ac:dyDescent="0.35">
      <c r="A12" s="5" t="s">
        <v>16</v>
      </c>
      <c r="B12" s="4">
        <v>32</v>
      </c>
    </row>
    <row r="13" spans="1:2" x14ac:dyDescent="0.35">
      <c r="A13" s="5" t="s">
        <v>12</v>
      </c>
      <c r="B13" s="4">
        <v>41</v>
      </c>
    </row>
    <row r="14" spans="1:2" x14ac:dyDescent="0.35">
      <c r="A14" s="3" t="s">
        <v>21</v>
      </c>
      <c r="B14" s="4">
        <v>57</v>
      </c>
    </row>
    <row r="15" spans="1:2" x14ac:dyDescent="0.35">
      <c r="A15" s="5" t="s">
        <v>16</v>
      </c>
      <c r="B15" s="4">
        <v>32</v>
      </c>
    </row>
    <row r="16" spans="1:2" x14ac:dyDescent="0.35">
      <c r="A16" s="5" t="s">
        <v>12</v>
      </c>
      <c r="B16" s="4">
        <v>25</v>
      </c>
    </row>
    <row r="17" spans="1:2" x14ac:dyDescent="0.35">
      <c r="A17" s="3" t="s">
        <v>17</v>
      </c>
      <c r="B17" s="4">
        <v>63</v>
      </c>
    </row>
    <row r="18" spans="1:2" x14ac:dyDescent="0.35">
      <c r="A18" s="5" t="s">
        <v>16</v>
      </c>
      <c r="B18" s="4">
        <v>36</v>
      </c>
    </row>
    <row r="19" spans="1:2" x14ac:dyDescent="0.35">
      <c r="A19" s="5" t="s">
        <v>12</v>
      </c>
      <c r="B19" s="4">
        <v>27</v>
      </c>
    </row>
    <row r="20" spans="1:2" x14ac:dyDescent="0.35">
      <c r="A20" s="3" t="s">
        <v>28</v>
      </c>
      <c r="B20" s="4">
        <v>417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zoomScale="59" zoomScaleNormal="59" workbookViewId="0">
      <selection activeCell="H4" sqref="H4"/>
    </sheetView>
  </sheetViews>
  <sheetFormatPr defaultRowHeight="14.5" x14ac:dyDescent="0.35"/>
  <cols>
    <col min="1" max="1" width="24.54296875" customWidth="1"/>
    <col min="2" max="2" width="19.54296875" bestFit="1" customWidth="1"/>
    <col min="3" max="3" width="5.81640625" customWidth="1"/>
    <col min="4" max="5" width="12.7265625" customWidth="1"/>
    <col min="6" max="6" width="24.08984375" bestFit="1" customWidth="1"/>
    <col min="7" max="7" width="22.7265625" bestFit="1" customWidth="1"/>
  </cols>
  <sheetData>
    <row r="1" spans="1:4" x14ac:dyDescent="0.35">
      <c r="A1" s="2" t="s">
        <v>33</v>
      </c>
      <c r="B1" s="2" t="s">
        <v>31</v>
      </c>
    </row>
    <row r="2" spans="1:4" x14ac:dyDescent="0.35">
      <c r="A2" s="2" t="s">
        <v>27</v>
      </c>
      <c r="B2" t="s">
        <v>16</v>
      </c>
      <c r="C2" t="s">
        <v>12</v>
      </c>
      <c r="D2" t="s">
        <v>28</v>
      </c>
    </row>
    <row r="3" spans="1:4" x14ac:dyDescent="0.35">
      <c r="A3" s="3" t="s">
        <v>14</v>
      </c>
      <c r="B3" s="4">
        <v>146</v>
      </c>
      <c r="C3" s="4">
        <v>156</v>
      </c>
      <c r="D3" s="4">
        <v>302</v>
      </c>
    </row>
    <row r="4" spans="1:4" x14ac:dyDescent="0.35">
      <c r="A4" s="3" t="s">
        <v>23</v>
      </c>
      <c r="B4" s="4">
        <v>43</v>
      </c>
      <c r="C4" s="4">
        <v>31</v>
      </c>
      <c r="D4" s="4">
        <v>74</v>
      </c>
    </row>
    <row r="5" spans="1:4" x14ac:dyDescent="0.35">
      <c r="A5" s="3" t="s">
        <v>19</v>
      </c>
      <c r="B5" s="4">
        <v>22</v>
      </c>
      <c r="C5" s="4">
        <v>19</v>
      </c>
      <c r="D5" s="4">
        <v>41</v>
      </c>
    </row>
    <row r="6" spans="1:4" x14ac:dyDescent="0.35">
      <c r="A6" s="3" t="s">
        <v>28</v>
      </c>
      <c r="B6" s="4">
        <v>211</v>
      </c>
      <c r="C6" s="4">
        <v>206</v>
      </c>
      <c r="D6" s="4">
        <v>417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zoomScale="60" zoomScaleNormal="60" workbookViewId="0">
      <selection activeCell="O11" sqref="O11"/>
    </sheetView>
  </sheetViews>
  <sheetFormatPr defaultRowHeight="14.5" x14ac:dyDescent="0.35"/>
  <cols>
    <col min="1" max="1" width="15.7265625" bestFit="1" customWidth="1"/>
    <col min="2" max="2" width="19.1796875" bestFit="1" customWidth="1"/>
    <col min="3" max="3" width="13.08984375" customWidth="1"/>
    <col min="4" max="4" width="13.08984375" bestFit="1" customWidth="1"/>
    <col min="5" max="5" width="10.1796875" customWidth="1"/>
    <col min="6" max="6" width="24.08984375" customWidth="1"/>
    <col min="7" max="7" width="15" customWidth="1"/>
  </cols>
  <sheetData>
    <row r="1" spans="1:10" x14ac:dyDescent="0.35">
      <c r="A1" s="2" t="s">
        <v>32</v>
      </c>
      <c r="B1" s="2" t="s">
        <v>31</v>
      </c>
    </row>
    <row r="2" spans="1:10" x14ac:dyDescent="0.35">
      <c r="A2" s="2" t="s">
        <v>27</v>
      </c>
      <c r="B2" t="s">
        <v>16</v>
      </c>
      <c r="C2" t="s">
        <v>12</v>
      </c>
      <c r="D2" t="s">
        <v>28</v>
      </c>
    </row>
    <row r="3" spans="1:10" x14ac:dyDescent="0.35">
      <c r="A3" s="3" t="s">
        <v>26</v>
      </c>
      <c r="B3" s="4">
        <v>41.603174603174601</v>
      </c>
      <c r="C3" s="4">
        <v>40.56</v>
      </c>
      <c r="D3" s="4">
        <v>41.141592920353979</v>
      </c>
      <c r="J3">
        <f>GETPIVOTDATA("Age",$A$1)</f>
        <v>40.947242206235011</v>
      </c>
    </row>
    <row r="4" spans="1:10" x14ac:dyDescent="0.35">
      <c r="A4" s="3" t="s">
        <v>15</v>
      </c>
      <c r="B4" s="4">
        <v>39.787234042553195</v>
      </c>
      <c r="C4" s="4">
        <v>40.192982456140349</v>
      </c>
      <c r="D4" s="4">
        <v>40.009615384615387</v>
      </c>
    </row>
    <row r="5" spans="1:10" x14ac:dyDescent="0.35">
      <c r="A5" s="3" t="s">
        <v>20</v>
      </c>
      <c r="B5" s="4">
        <v>42.53846153846154</v>
      </c>
      <c r="C5" s="4">
        <v>42.244444444444447</v>
      </c>
      <c r="D5" s="4">
        <v>42.38095238095238</v>
      </c>
    </row>
    <row r="6" spans="1:10" x14ac:dyDescent="0.35">
      <c r="A6" s="3" t="s">
        <v>18</v>
      </c>
      <c r="B6" s="4">
        <v>40.612903225806448</v>
      </c>
      <c r="C6" s="4">
        <v>40.5</v>
      </c>
      <c r="D6" s="4">
        <v>40.560344827586206</v>
      </c>
    </row>
    <row r="7" spans="1:10" x14ac:dyDescent="0.35">
      <c r="A7" s="3" t="s">
        <v>28</v>
      </c>
      <c r="B7" s="4">
        <v>41.080568720379148</v>
      </c>
      <c r="C7" s="4">
        <v>40.810679611650485</v>
      </c>
      <c r="D7" s="4">
        <v>40.947242206235011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T3"/>
  <sheetViews>
    <sheetView zoomScale="23" zoomScaleNormal="23" workbookViewId="0">
      <selection activeCell="M19" sqref="M19"/>
    </sheetView>
  </sheetViews>
  <sheetFormatPr defaultRowHeight="14.5" x14ac:dyDescent="0.35"/>
  <sheetData>
    <row r="1" spans="8:20" ht="32.5" x14ac:dyDescent="0.85">
      <c r="H1" s="8"/>
      <c r="I1" s="7"/>
      <c r="J1" s="7"/>
      <c r="K1" s="7"/>
      <c r="L1" s="7"/>
      <c r="M1" s="7"/>
      <c r="N1" s="7"/>
      <c r="O1" s="7"/>
      <c r="P1" s="7"/>
      <c r="Q1" s="7"/>
      <c r="R1" s="7"/>
      <c r="S1" s="7"/>
      <c r="T1" s="7"/>
    </row>
    <row r="2" spans="8:20" x14ac:dyDescent="0.35">
      <c r="H2" s="7"/>
      <c r="I2" s="7"/>
      <c r="J2" s="7"/>
      <c r="K2" s="7"/>
      <c r="L2" s="7"/>
      <c r="M2" s="7"/>
      <c r="N2" s="7"/>
      <c r="O2" s="7"/>
      <c r="P2" s="7"/>
      <c r="Q2" s="7"/>
      <c r="R2" s="7"/>
      <c r="S2" s="7"/>
      <c r="T2" s="7"/>
    </row>
    <row r="3" spans="8:20" ht="25" x14ac:dyDescent="0.7">
      <c r="H3" s="9"/>
      <c r="I3" s="7"/>
      <c r="J3" s="7"/>
      <c r="K3" s="7"/>
      <c r="L3" s="7"/>
      <c r="M3" s="7"/>
      <c r="N3" s="7"/>
      <c r="O3" s="7"/>
      <c r="P3" s="7"/>
      <c r="Q3" s="7"/>
      <c r="R3" s="7"/>
      <c r="S3" s="7"/>
      <c r="T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3" zoomScale="40" zoomScaleNormal="40" workbookViewId="0">
      <selection activeCell="BQ93" sqref="BQ9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DS3-aviation Company Dataset</vt:lpstr>
      <vt:lpstr>Sheet1</vt:lpstr>
      <vt:lpstr>Chart1</vt:lpstr>
      <vt:lpstr>Chart2</vt:lpstr>
      <vt:lpstr>Chart3</vt:lpstr>
      <vt:lpstr>Chart4</vt:lpstr>
      <vt:lpstr>Chart5</vt:lpstr>
      <vt:lpstr>Dashboard</vt:lpstr>
      <vt:lpstr>Dashboard2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2026-01-29T16:30:53Z</dcterms:created>
  <dcterms:modified xsi:type="dcterms:W3CDTF">2026-02-07T13:40:12Z</dcterms:modified>
</cp:coreProperties>
</file>